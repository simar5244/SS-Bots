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sim/Desktop/testvpat/"/>
    </mc:Choice>
  </mc:AlternateContent>
  <xr:revisionPtr revIDLastSave="0" documentId="13_ncr:1_{A24EDF1F-AC70-9B4C-ADB7-BB68094C2C2A}" xr6:coauthVersionLast="47" xr6:coauthVersionMax="47" xr10:uidLastSave="{00000000-0000-0000-0000-000000000000}"/>
  <bookViews>
    <workbookView xWindow="0" yWindow="580" windowWidth="25600" windowHeight="13800" activeTab="2" xr2:uid="{6716BA72-87EE-B647-BAD0-D06EC314C1F1}"/>
  </bookViews>
  <sheets>
    <sheet name="U T A" sheetId="1" r:id="rId1"/>
    <sheet name="Score" sheetId="2" r:id="rId2"/>
    <sheet name="ACR" sheetId="3" r:id="rId3"/>
    <sheet name="List by Impact" sheetId="4" r:id="rId4"/>
    <sheet name="Roadmap" sheetId="5" r:id="rId5"/>
    <sheet name="Versions"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8" i="3" l="1"/>
  <c r="H58" i="3"/>
  <c r="F58" i="3"/>
  <c r="C62" i="2" a="1"/>
  <c r="C62" i="2" s="1"/>
  <c r="C65" i="2" a="1"/>
  <c r="C65" i="2" s="1"/>
  <c r="C68" i="2" a="1"/>
  <c r="C68" i="2" s="1"/>
  <c r="C67" i="2" a="1"/>
  <c r="C67" i="2" s="1"/>
  <c r="C66" i="2" a="1"/>
  <c r="C66" i="2" s="1"/>
  <c r="C64" i="2" a="1"/>
  <c r="C64" i="2" s="1"/>
  <c r="C63" i="2" a="1"/>
  <c r="C63" i="2" s="1"/>
  <c r="B68" i="2" a="1"/>
  <c r="B68" i="2" s="1"/>
  <c r="B67" i="2" a="1"/>
  <c r="B67" i="2" s="1"/>
  <c r="B66" i="2" a="1"/>
  <c r="B66" i="2" s="1"/>
  <c r="B65" i="2" a="1"/>
  <c r="B65" i="2" s="1"/>
  <c r="B64" i="2" a="1"/>
  <c r="B64" i="2" s="1"/>
  <c r="B63" i="2" a="1"/>
  <c r="B63" i="2" s="1"/>
  <c r="B62" i="2" a="1"/>
  <c r="B62" i="2" s="1"/>
  <c r="C13" i="2"/>
  <c r="D36" i="2"/>
  <c r="D35" i="2"/>
  <c r="D34" i="2"/>
  <c r="C36" i="2"/>
  <c r="C35" i="2"/>
  <c r="C34" i="2"/>
  <c r="B36" i="2"/>
  <c r="B35" i="2"/>
  <c r="B34" i="2"/>
  <c r="G30" i="2"/>
  <c r="D28" i="2"/>
  <c r="D27" i="2"/>
  <c r="C28" i="2"/>
  <c r="C27" i="2"/>
  <c r="B28" i="2"/>
  <c r="B27" i="2"/>
  <c r="D29" i="2"/>
  <c r="C29" i="2"/>
  <c r="B29" i="2"/>
  <c r="D67" i="2" l="1"/>
  <c r="E67" i="2" s="1"/>
  <c r="F37" i="2"/>
  <c r="D63" i="2"/>
  <c r="E63" i="2" s="1"/>
  <c r="D64" i="2"/>
  <c r="E64" i="2" s="1"/>
  <c r="D66" i="2"/>
  <c r="E66" i="2" s="1"/>
  <c r="C30" i="2"/>
  <c r="D68" i="2"/>
  <c r="E68" i="2" s="1"/>
  <c r="D65" i="2"/>
  <c r="E65" i="2" s="1"/>
  <c r="D62" i="2"/>
  <c r="E62" i="2" s="1"/>
  <c r="D30" i="2"/>
  <c r="D37" i="2"/>
  <c r="B37" i="2"/>
  <c r="C37" i="2"/>
  <c r="F30" i="2"/>
  <c r="H30" i="2" s="1"/>
  <c r="B30" i="2"/>
  <c r="E30" i="2"/>
  <c r="E37" i="2"/>
  <c r="G37" i="2" s="1"/>
  <c r="H37" i="2" l="1"/>
  <c r="B5" i="2" s="1"/>
  <c r="J58" i="4"/>
  <c r="I58" i="4"/>
  <c r="H58" i="4"/>
  <c r="G58" i="4"/>
  <c r="F58" i="4"/>
  <c r="E58" i="4"/>
  <c r="D58" i="4"/>
  <c r="B6"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<sst xmlns="http://schemas.openxmlformats.org/spreadsheetml/2006/main" count="569" uniqueCount="280">
  <si>
    <t xml:space="preserve">This scorecard is designed to evaluate responses from a completed VPAT® (Voluntary Product Accessibility Template), also known as an Accessibility Conformance Report (ACR). VPAT® is a registered trademark of ITIC.org. The purpose of this scorecard is to standardize the assessment of ACRs submitted by vendors or derived from user testing.
Please note: This scorecard does not determine whether a resource is definitively accessible. Instead, it serves as a centralized tool to help guide decisions regarding accessibility and identify potential accommodations. 
This file contains six worksheets. The current worksheet is 1 of 6, with content located in only column A, rows 1 through 13. Below is a summary of the remaining worksheets:
Worksheet 2: Score
Contains eight tables that calculate a VPAT score, grade, and a risk indicator based on ACR responses and user population.
Includes:
Table 1: Resource, ticket number, WCAG 2.1 score, and risk indicator. 
Table 2: Resource details such as cost, date of VPAT and number of users
Tables 3 and 4: Accessibility scores and grades for WCAG 2.2 and 2.0 respectively.
Table 5: Weighting of response categories.
Table 6: Grading logic and approval methods.
Table 7: Risk logic explanation.
Table 8: Population segments likely to encounter accessibility barriers. 
</t>
  </si>
  <si>
    <t xml:space="preserve">Worksheet 3: ACR
Record the vendor's responses from the completed VPAT®.
In Column C select one of the three options: Supports (default), Partially Supports, or Does Not Support.  
You may either type s for Supports, p for Partially Supports or d for Does not support. Or, you may choose from the drop down list.
If the vendor indicates N/A, then select Supports. 
If the vendor indicates not evaluated, then select Does not support. 
This update does away with double checking the count because no criteria can be skipped. The default is always supports.
Each WCAG criterion is hyperlinked to the W3C website.
User may adjust the impact categories and notes, including if a manual check was run.
AAA criteria are not included.
Worksheet 4: List  by Impact
Maps WCAG criteria to specific disability types. 
</t>
  </si>
  <si>
    <r>
      <t xml:space="preserve">Worksheet 5: Roadmap Priority  
</t>
    </r>
    <r>
      <rPr>
        <sz val="14"/>
        <color theme="1"/>
        <rFont val="Arial"/>
        <family val="2"/>
      </rPr>
      <t xml:space="preserve">This list help vendors prioritize their remediaton roadmap.  </t>
    </r>
    <r>
      <rPr>
        <b/>
        <sz val="14"/>
        <color theme="1"/>
        <rFont val="Arial"/>
        <family val="2"/>
      </rPr>
      <t xml:space="preserve">
Worksheet 6: Versions 
</t>
    </r>
    <r>
      <rPr>
        <sz val="14"/>
        <color theme="1"/>
        <rFont val="Arial"/>
        <family val="2"/>
      </rPr>
      <t>Tracks the changes made to each version of the scorecard.</t>
    </r>
  </si>
  <si>
    <t>Update to scoring logic: I was unable to implement the desire to drop a score based on the number of extremely important criteria not supported. I will work on this for a future update. 
We have opted to change the weights we are using. Any success criteria that is supported, gets the full points no matter the impact classification of Standard, Somewhat Important or Important. 
I reversed the weights of partially supported so that Extremely Important criteria that are partially supported receive fewer points than Standard criteria that are partially supported. 
We understand that everyone may not adopt this same philosophy. Feel free to customize this scorecard.
This revision has all formulas updated.</t>
  </si>
  <si>
    <t xml:space="preserve">Accessibility Philosophy at UTA
At The University of Texas at Arlington, we are committed to meeting all WCAG A/AA criteria for Electronic and Information Resources (EIR). We acknowledge the need to balance accessibility with operational constraints such as staffing, resources, and budget.
This scorecard allows for a passing grade even if not all criteria are met. Our goal remains full accessibility, but practical limitations may necessitate continued use of EIRs that do not fully comply. The scorecard helps communicate necessary accommodations to the requesting department so that proper documentation for exception forms is processed in accordance with state and federal rules.
For resources that receive failing scores, vendors will be provided feedback on the specific accessibility issues. Grades below A or B require submission of an EIR Accessibility Exception (EAE) form. These forms were previously known as EEAAPs (Equally Effective Accessibility Accommodation Plans).
The adoption of a letter-grade system enables year-over-year comparison while supporting the evolution of our numerical scoring methodology.
</t>
  </si>
  <si>
    <t>This scorecard does not have any protected cells.  All users are welcome to modify the weights and formulas to best fit their needs.  If you run across any errors or find this scoring system beneficial, please let us know.</t>
  </si>
  <si>
    <t>TAC refers to Texas Administrative Code https://texas-sos.appianportalsgov.com/rules-and-meetings?recordId=197309&amp;queryAsDate=08%2F15%2F2025&amp;interface=VIEW_TAC_SUMMARY&amp;$locale=en_US</t>
  </si>
  <si>
    <t>Future goals: 
1) Run a validation of the responses comparing them to each other. For instance, if 2.1.2 Keyboard Traps fails, then 2.1.1 Keyboard should also fail. Or, if 2.4.6 Headings and Labels fails then 1.3.1 Info and Relationships also fails. 
2) Create a formula that would ensure a drop in the grade if more than 1 (or 2?) of the Extremely Important criteria are not supported. Make this adjustment clear to all users and editable. 
3) Can AI populate the ACR worksheet from a VPAT without human input (and without error). Concern: The comments on the VPAT are important. If a human isn't completing the input, does that get lost? 
4) Produce a remediation map for the vendor based on the criteria that are not supported based on the Roadmap Priority information.</t>
  </si>
  <si>
    <t>Scorecard created by:</t>
  </si>
  <si>
    <t>Laura Hopkins  (she/her/hers)
MS ITM, CPACC, CAPM, CTCD/CTCM</t>
  </si>
  <si>
    <t>EIR Compliance Lead | EIR Accessibility Coordinator</t>
  </si>
  <si>
    <t>The University of Texas at Arlington</t>
  </si>
  <si>
    <t>817-272-5961</t>
  </si>
  <si>
    <t>accessibility@uta.edu or Laura.Hopkins@uta.edu</t>
  </si>
  <si>
    <t>Last Updated 8/25/25, Rev. 26</t>
  </si>
  <si>
    <t>© UTA Proprietary - please do not share without our permission - accessiblity@uta.edu</t>
  </si>
  <si>
    <t>Special thanks to Amy Wilkes, EIR Accessibility Specialist at UT Arlington for her assistance in creating this scorecard.</t>
  </si>
  <si>
    <t>Resource</t>
  </si>
  <si>
    <t>Details</t>
  </si>
  <si>
    <t>Name of EIR:</t>
  </si>
  <si>
    <t>Ticket Number:</t>
  </si>
  <si>
    <t>Accessibility Grade 2.1</t>
  </si>
  <si>
    <t>Risk Level</t>
  </si>
  <si>
    <t>Resource details</t>
  </si>
  <si>
    <t>Response</t>
  </si>
  <si>
    <t>Notes</t>
  </si>
  <si>
    <t>Comments</t>
  </si>
  <si>
    <t>Manufacturer Name:</t>
  </si>
  <si>
    <t>URL:</t>
  </si>
  <si>
    <t>VPAT® Version:</t>
  </si>
  <si>
    <t>Date of VPAT®:</t>
  </si>
  <si>
    <t>C44 calculates with B47</t>
  </si>
  <si>
    <t>Did the assessment include manual testing?</t>
  </si>
  <si>
    <t>Yes</t>
  </si>
  <si>
    <t>If no, should VPAT be considered?</t>
  </si>
  <si>
    <t>Scored by:</t>
  </si>
  <si>
    <t>Date Graded:</t>
  </si>
  <si>
    <t>Annual Cost:</t>
  </si>
  <si>
    <t>Crucial to score</t>
  </si>
  <si>
    <t>Was an NDA executed in order to receive the ACR?</t>
  </si>
  <si>
    <t>No</t>
  </si>
  <si>
    <t>If an NDA is required, review carefully for confidence.</t>
  </si>
  <si>
    <t>How many students use this resource annually? (enter a number)</t>
  </si>
  <si>
    <t>How many employees (faculty/staff) use this resource annually?</t>
  </si>
  <si>
    <t>Is this resource of use by the public?</t>
  </si>
  <si>
    <t xml:space="preserve">Select a confidence level of ACR (high, medium, low). </t>
  </si>
  <si>
    <t>Medium</t>
  </si>
  <si>
    <t>If confidence is low, discard the ACR.</t>
  </si>
  <si>
    <t>Did scorer adjust impact level of any success criteria?</t>
  </si>
  <si>
    <t>If yes, explain</t>
  </si>
  <si>
    <t>Grade per WCAG 2.2</t>
  </si>
  <si>
    <t>Impact Category WCAG 2.2</t>
  </si>
  <si>
    <t>2.2 Not Supported/ Not Evaluated</t>
  </si>
  <si>
    <t>2.2 Partially Supports</t>
  </si>
  <si>
    <t>2.2 Supports</t>
  </si>
  <si>
    <t>2.2 Total Success Criteria</t>
  </si>
  <si>
    <t>2.2 Score</t>
  </si>
  <si>
    <t>2.2 Perfect Score</t>
  </si>
  <si>
    <t>2.2 Grade</t>
  </si>
  <si>
    <t>2.2 Grade Range</t>
  </si>
  <si>
    <t>Minimum score for 2.1</t>
  </si>
  <si>
    <t>Extremely Important 2.2</t>
  </si>
  <si>
    <t>A -</t>
  </si>
  <si>
    <t>minimum 5320, 95% of perfect</t>
  </si>
  <si>
    <t>Somewhat Important 2.2</t>
  </si>
  <si>
    <t>B -</t>
  </si>
  <si>
    <t>Standard 2.2</t>
  </si>
  <si>
    <t>C -</t>
  </si>
  <si>
    <t>Limited use and cost</t>
  </si>
  <si>
    <t>Success Criteria Totals 2.2</t>
  </si>
  <si>
    <t>D/F -</t>
  </si>
  <si>
    <t>EIR Accessibility Exception Paperwork Required</t>
  </si>
  <si>
    <t>Grade per WCAG 2.1</t>
  </si>
  <si>
    <t>Impact Category WCAG 2.1</t>
  </si>
  <si>
    <t>2.1 Not Supported/ Not Evaluated</t>
  </si>
  <si>
    <t>2.1 Partially Supports</t>
  </si>
  <si>
    <t>2.1 Supports</t>
  </si>
  <si>
    <t>2.1 Total Success Criteria</t>
  </si>
  <si>
    <t>2.1 Score</t>
  </si>
  <si>
    <t>2.1 Perfect Score</t>
  </si>
  <si>
    <t>2.1 Grade</t>
  </si>
  <si>
    <t>2.1 Grade Range</t>
  </si>
  <si>
    <t>Extremely Important 2.1</t>
  </si>
  <si>
    <t>minimum 4750, 95% of perfect</t>
  </si>
  <si>
    <t>Somewhat Important 2.1</t>
  </si>
  <si>
    <t>Standard 2.1</t>
  </si>
  <si>
    <t>Success Criteria Totals 2.1</t>
  </si>
  <si>
    <t>Weights Logic</t>
  </si>
  <si>
    <t>Weights</t>
  </si>
  <si>
    <t>Not Support / Not Evaluated</t>
  </si>
  <si>
    <t>Partially Supports</t>
  </si>
  <si>
    <t>Supports</t>
  </si>
  <si>
    <t>Extremely Important</t>
  </si>
  <si>
    <t>Somewhat Important</t>
  </si>
  <si>
    <t>Standard</t>
  </si>
  <si>
    <t>Logic Table for Grade</t>
  </si>
  <si>
    <t>Grade</t>
  </si>
  <si>
    <t>Approval Name</t>
  </si>
  <si>
    <t>Parameters</t>
  </si>
  <si>
    <t>Term</t>
  </si>
  <si>
    <t>A</t>
  </si>
  <si>
    <t>Accessible</t>
  </si>
  <si>
    <t>2 year approval</t>
  </si>
  <si>
    <t>B</t>
  </si>
  <si>
    <t>Conditional</t>
  </si>
  <si>
    <t>C</t>
  </si>
  <si>
    <t>Blanket EAE</t>
  </si>
  <si>
    <t>D</t>
  </si>
  <si>
    <t>EAE - TAC or DOJ</t>
  </si>
  <si>
    <t>None of the above and costs &lt; $25k annually</t>
  </si>
  <si>
    <t>Set by EIRAC</t>
  </si>
  <si>
    <t>F</t>
  </si>
  <si>
    <t>Enahnced EAE - TAC or DOJ</t>
  </si>
  <si>
    <t>None of the above, additional defense required.</t>
  </si>
  <si>
    <t>Risk Logic</t>
  </si>
  <si>
    <t>If accessibility score is an A</t>
  </si>
  <si>
    <t>Low Risk</t>
  </si>
  <si>
    <t>Not an A, 50 or fewer users</t>
  </si>
  <si>
    <t>Low Risk, also</t>
  </si>
  <si>
    <t>Not an A, &gt;50 but &lt;500 users</t>
  </si>
  <si>
    <t>Moderate Risk</t>
  </si>
  <si>
    <t>Not an A,  &gt;500 but &lt; 5000 users</t>
  </si>
  <si>
    <t>High Risk</t>
  </si>
  <si>
    <t>Not an A, used by pulic or 5k users</t>
  </si>
  <si>
    <t>Very High Risk</t>
  </si>
  <si>
    <t>Disabilities impacted by unsupported success criteria</t>
  </si>
  <si>
    <t>Population Based on 2.1 only</t>
  </si>
  <si>
    <t>Total Criteria</t>
  </si>
  <si>
    <t>Criteria Supported</t>
  </si>
  <si>
    <t>% Supported</t>
  </si>
  <si>
    <t>Disability Supported</t>
  </si>
  <si>
    <t>Motor Disabilities</t>
  </si>
  <si>
    <t>Cognitive disorders </t>
  </si>
  <si>
    <t>Low vision </t>
  </si>
  <si>
    <t>Hearing loss </t>
  </si>
  <si>
    <t>Colorblindness</t>
  </si>
  <si>
    <t>Blindness </t>
  </si>
  <si>
    <t>Epilepsy </t>
  </si>
  <si>
    <t>To move reporting from WCAG 2.1 to 2.2 in the Impact table, update formulas from using Col G to use Col H</t>
  </si>
  <si>
    <t xml:space="preserve">VPAT Criteria 2.4 - Enter a 1 in the proper column to indicate the response from the vendor. </t>
  </si>
  <si>
    <t>Impact</t>
  </si>
  <si>
    <t>Validation Method [Source: Siteimprove]</t>
  </si>
  <si>
    <t>Comments or Notes</t>
  </si>
  <si>
    <t>WCAG 2.0</t>
  </si>
  <si>
    <t>WCAG 2.1</t>
  </si>
  <si>
    <t>WCAG 2.2</t>
  </si>
  <si>
    <t>1.1.1 Non-text Content (Level A)</t>
  </si>
  <si>
    <t>Extremely important</t>
  </si>
  <si>
    <t>Automated</t>
  </si>
  <si>
    <t>1.2.1 Audio-only and Video-only (Prerecorded) (Level A)</t>
  </si>
  <si>
    <t>Somewhat important</t>
  </si>
  <si>
    <t>1.2.2 Captions (Prerecorded) (Level A)</t>
  </si>
  <si>
    <t>1.2.3 Audio Description or Media Alternative (Prerecorded) (Level A)</t>
  </si>
  <si>
    <t>1.3.1 Info and Relationships (Level A)</t>
  </si>
  <si>
    <t>1.3.2 Meaningful Sequence (Level A)</t>
  </si>
  <si>
    <t>Manual</t>
  </si>
  <si>
    <t>1.3.3 Sensory Characteristics  (Level A)</t>
  </si>
  <si>
    <t>1.4.1 Use of Color (Level A)</t>
  </si>
  <si>
    <t>1.4.2 Audio Control (Level A)</t>
  </si>
  <si>
    <t>2.1.1 Keyboard (Level A)</t>
  </si>
  <si>
    <t>2.1.2 No Keyboard Trap (Level A)</t>
  </si>
  <si>
    <t>2.1.4 Character Key Shortcuts (Level A 2.1 and 2.2)</t>
  </si>
  <si>
    <t>2.2.1 Timing Adjustable (Level A)</t>
  </si>
  <si>
    <t>2.2.2 Pause, Stop, Hide (Level A)</t>
  </si>
  <si>
    <t>2.3.1 Three Flashes or Below Threshold (Level A)</t>
  </si>
  <si>
    <t>2.4.1 Bypass Blocks (Level A)</t>
  </si>
  <si>
    <t>2.4.2 Page Titled (Level A)</t>
  </si>
  <si>
    <t>2.4.3 Focus Order (Level A)</t>
  </si>
  <si>
    <t>2.4.4 Link Purpose (In Context) (Level A)</t>
  </si>
  <si>
    <t>2.5.1 Pointer Gestures (Level A 2.1 and 2.2)</t>
  </si>
  <si>
    <t>2.5.2 Pointer Cancellation (Level A 2.1 and 2.2)</t>
  </si>
  <si>
    <t>2.5.3 Label in Name (Level A 2.1 and 2.2)</t>
  </si>
  <si>
    <t>2.5.4 Motion Actuation (Level A 2.1 and 2.2)</t>
  </si>
  <si>
    <t>3.1.1 Language of Page (Level A)</t>
  </si>
  <si>
    <t>3.2.1 On Focus (Level A)</t>
  </si>
  <si>
    <t>3.2.2 On Input (Level A)</t>
  </si>
  <si>
    <t>3.2.6 Consistent Help (Level A 2.2)</t>
  </si>
  <si>
    <t>New in 2.2</t>
  </si>
  <si>
    <t>3.3.1 Error Identification (Level A)</t>
  </si>
  <si>
    <t>3.3.2 Labels or Instructions (Level A)</t>
  </si>
  <si>
    <t>3.3.7 Redundent Entry (Level 2.2)</t>
  </si>
  <si>
    <t>4.1.1 Parsing (Level A)</t>
  </si>
  <si>
    <t>For WCAG 2.0 and 2.1, the September 2023 errata update indicates this criterion is always supported.</t>
  </si>
  <si>
    <t>4.1.2 Name, Role, Value (Level A)</t>
  </si>
  <si>
    <t>1.2.4 Captions (Live) (Level AA)</t>
  </si>
  <si>
    <t>1.2.5 Audio Description (Prerecorded) (Level AA)</t>
  </si>
  <si>
    <t>1.3.4 Orientation (Level AA 2.1 and 2.2)</t>
  </si>
  <si>
    <t>1.3.5 Identify Input Purpose (Level A 2.1 and 2.2)</t>
  </si>
  <si>
    <t>1.4.3 Contrast (Minimum) (Level AA)</t>
  </si>
  <si>
    <t>1.4.4 Resize text (Level AA)</t>
  </si>
  <si>
    <t>1.4.5 Images of Text (Level AA)</t>
  </si>
  <si>
    <t>1.4.10 Reflow (Level A 2.1 and 2.2)</t>
  </si>
  <si>
    <t>1.4.11 Non-text Contrast (Level A 2.1 and 2.2)</t>
  </si>
  <si>
    <t>1.4.12 Text Spacing (Level A 2.1 and 2.2)</t>
  </si>
  <si>
    <t>1.4.13 Content on Hover or Focus (Level AA,  2.1 and 2.2)</t>
  </si>
  <si>
    <t>2.4.5 Multiple Ways (Level AA)</t>
  </si>
  <si>
    <t>2.4.6 Headings and Labels (Level AA)</t>
  </si>
  <si>
    <t>2.4.7 Focus Visible (Level AA)</t>
  </si>
  <si>
    <t>2.4.11 Focus Not Obscured (Level AA, WCAG 2.2)</t>
  </si>
  <si>
    <t>2.5.7 Dragging Movements (Level AA, 2.2)</t>
  </si>
  <si>
    <t>2.5.8 Target Size (Level AA, 2.2)</t>
  </si>
  <si>
    <t>3.1.2 Language of Parts (Level AA)</t>
  </si>
  <si>
    <t>3.2.3 Consistent Navigation (Level AA)</t>
  </si>
  <si>
    <t>3.2.4 Consistent Identification (Level AA)</t>
  </si>
  <si>
    <t>3.3.3 Error Suggestion (Level AA)</t>
  </si>
  <si>
    <t>3.3.4 Error Prevention (Legal, Financial, Data) (Level AA)</t>
  </si>
  <si>
    <t>3.3.8 Accessible Authentication (Level AA 2.2)</t>
  </si>
  <si>
    <t>4.1.3 Status Messages (Level AA 2.1 and 2.2)</t>
  </si>
  <si>
    <t>Total for each WCAG version</t>
  </si>
  <si>
    <t>WCAG criteria © by W3C
Scorecard © by UTA - Proprietary - please do not share without our permission - accessiblity@uta.edu</t>
  </si>
  <si>
    <t>List of WCAG Criteria and which disabilities are impacted.</t>
  </si>
  <si>
    <t xml:space="preserve">WCAG Version </t>
  </si>
  <si>
    <t>Row on Response Tab</t>
  </si>
  <si>
    <t>Blindness</t>
  </si>
  <si>
    <t>Low Vision</t>
  </si>
  <si>
    <t>Hearing Loss</t>
  </si>
  <si>
    <t>Cognitive Disorders</t>
  </si>
  <si>
    <t>Epilepsy</t>
  </si>
  <si>
    <t>1.3.5 Identify Input Purpose (Level AA 2.1 and 2.2)</t>
  </si>
  <si>
    <t>1.4.10 Reflow (Level AA 2.1 and 2.2)</t>
  </si>
  <si>
    <t>1.4.11 Non-text Contrast (Level AA 2.1 and 2.2)</t>
  </si>
  <si>
    <t>1.4.12 Text Spacing (Level AA 2.1 and 2.2)</t>
  </si>
  <si>
    <t>1.4.13 Content on Hover or Focus (Level AA 2.1 and 2.2)</t>
  </si>
  <si>
    <t>Totals</t>
  </si>
  <si>
    <t>% of U S Adult Population</t>
  </si>
  <si>
    <t>This worksheet has been edited and modified but was based on work shared by:
Karole Schroeder, CPACC (she/her/hers)
Electronic and Information Resources Accessibility Coordinator (EIRAC)
Office of Information Security | Division of Information Technology, Texas A &amp; M University Corpus Christi</t>
  </si>
  <si>
    <t>VPAT Criteria</t>
  </si>
  <si>
    <t>Roadmap Priority</t>
  </si>
  <si>
    <t>1.3.4 Orientation (Level AA 2.1 only)</t>
  </si>
  <si>
    <t>4.1.3 Status Messages (Level AA 2.1 only)</t>
  </si>
  <si>
    <t>2.5.8 Target Size (Level AA, 2.2</t>
  </si>
  <si>
    <t>n/a</t>
  </si>
  <si>
    <t>Date</t>
  </si>
  <si>
    <t>Updates</t>
  </si>
  <si>
    <t>Revision number</t>
  </si>
  <si>
    <t>Dropped references to 2.0 on Score tab</t>
  </si>
  <si>
    <t>Updated from 3 response columns to a single column with a pick list; updated all formulas</t>
  </si>
  <si>
    <t>Added formula in col E of the ACR tab to automatically change from 1 to 0 if a 1 is entered in either column C or D</t>
  </si>
  <si>
    <t>Changed Grade formula from &gt;=.80 to &lt;=.89; hid text in Col I and J to reduce confusion</t>
  </si>
  <si>
    <t>23d</t>
  </si>
  <si>
    <t>Continued formula updates to secure proper responses</t>
  </si>
  <si>
    <t>23c</t>
  </si>
  <si>
    <t>Continued issues with the B grade and issue with the D grade on 2.1; updated 'missing criteria' response</t>
  </si>
  <si>
    <t>23b</t>
  </si>
  <si>
    <t>The B Grade was not taking into account student use properly.</t>
  </si>
  <si>
    <t>23a</t>
  </si>
  <si>
    <t>Updated weights for supported criteria - no different between the Extremely Important, Somewhat Important or Standard criteria if supported</t>
  </si>
  <si>
    <t>Corrected score of C so that it can be applied to those with less than 50 users and costs less than 25k,</t>
  </si>
  <si>
    <t>22c</t>
  </si>
  <si>
    <t>The risk indicator was wrong because the score formula was wrong - corrected. Added qualifer that if more than 1 Extremely Important criteria is not supported, the score is reduced by 5%</t>
  </si>
  <si>
    <t>22b</t>
  </si>
  <si>
    <t>Corrected Risk Level to reflect WCAG 2.1 grade; added text message if number of criteria is not correct</t>
  </si>
  <si>
    <t>22a</t>
  </si>
  <si>
    <t>Major Revision: Removed number of users from accessibility score/grade, all WCAG scores are on the same worksheet</t>
  </si>
  <si>
    <t>Corrected Score so that it takes into account the response for public use.</t>
  </si>
  <si>
    <t>Corrections to formulas for Conditional Pass and cleared conditional formatting on B6</t>
  </si>
  <si>
    <t>Autopopulate details on resource</t>
  </si>
  <si>
    <t>Added 2.0 tab, added 2.1 tab, corrected formulas for impacted populations on 2.0 tab, added Roadmap tabd, corrected errors</t>
  </si>
  <si>
    <t>Corrected formulas in Disabilities Impacted tables on Score tab</t>
  </si>
  <si>
    <t>Added a greater than sign before the equal sign in the IF statement to calculate Vendor Response</t>
  </si>
  <si>
    <t>Removed the text about less than 50 employees for a B score Conditional approval</t>
  </si>
  <si>
    <t>Updated the scale and corrected some of the formulas</t>
  </si>
  <si>
    <t>Updated from standard to extremely important rows 6 and 44</t>
  </si>
  <si>
    <t>Added indicator for each criteria if automated or manual check</t>
  </si>
  <si>
    <t>updated information on the first worksheet for tabs 4 and 5</t>
  </si>
  <si>
    <t>added data bar to populations impacted and updated tab colors</t>
  </si>
  <si>
    <t>Added response indicator on Score Card in Column C for VPAT dates that exceeds two years</t>
  </si>
  <si>
    <t>Corrected format of VPAT version cell to allow for a decimal.</t>
  </si>
  <si>
    <t>Corrected Risk response so that a passing grade is always a low risk, no matter how many users</t>
  </si>
  <si>
    <t xml:space="preserve">Moved Headings/Labels </t>
  </si>
  <si>
    <t>Added Letter Accessibility Grade. Added Risk Grade. Added legends for both</t>
  </si>
  <si>
    <t>minimum 4760, 85% of perfect and no student/public use</t>
  </si>
  <si>
    <t>minimum 4250, 85% of perfect and no student/public use</t>
  </si>
  <si>
    <t>90% or greater of perfect score</t>
  </si>
  <si>
    <t>80% or greater of perfect, no student or public use</t>
  </si>
  <si>
    <t>&lt;90% of perfect score. Annual use is 50 or fewer employees and/or 50 or fewer students and &lt; $25k</t>
  </si>
  <si>
    <t>TTU Accessibility Scorecard</t>
  </si>
  <si>
    <t>NA</t>
  </si>
  <si>
    <t>N/A</t>
  </si>
  <si>
    <t>NEGLIGIBLE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</si>
</sst>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0.0%"/>
  </numFmts>
  <fonts count="33" x14ac:knownFonts="1">
    <font>
      <sz val="12"/>
      <color theme="1"/>
      <name val="Arial"/>
      <family val="2"/>
    </font>
    <font>
      <sz val="12"/>
      <color theme="1"/>
      <name val="Aptos Narrow"/>
      <family val="2"/>
      <scheme val="minor"/>
    </font>
    <font>
      <sz val="12"/>
      <color theme="1"/>
      <name val="Aptos Narrow"/>
      <family val="2"/>
      <scheme val="minor"/>
    </font>
    <font>
      <sz val="12"/>
      <color theme="1"/>
      <name val="Arial"/>
      <family val="2"/>
    </font>
    <font>
      <u/>
      <sz val="12"/>
      <color theme="10"/>
      <name val="Arial"/>
      <family val="2"/>
    </font>
    <font>
      <sz val="14"/>
      <color theme="1"/>
      <name val="Arial"/>
      <family val="2"/>
    </font>
    <font>
      <b/>
      <sz val="14"/>
      <color theme="1"/>
      <name val="Arial"/>
      <family val="2"/>
    </font>
    <font>
      <u/>
      <sz val="14"/>
      <color theme="10"/>
      <name val="Arial"/>
      <family val="2"/>
    </font>
    <font>
      <sz val="14"/>
      <color theme="1"/>
      <name val="Aptos Narrow"/>
      <family val="2"/>
      <scheme val="minor"/>
    </font>
    <font>
      <b/>
      <sz val="12"/>
      <color theme="0"/>
      <name val="Arial"/>
      <family val="2"/>
    </font>
    <font>
      <u/>
      <sz val="12"/>
      <color theme="4" tint="-0.499984740745262"/>
      <name val="Arial"/>
      <family val="2"/>
    </font>
    <font>
      <u/>
      <sz val="12"/>
      <color theme="1"/>
      <name val="Arial"/>
      <family val="2"/>
    </font>
    <font>
      <u/>
      <sz val="12"/>
      <color theme="1"/>
      <name val="Aptos Narrow"/>
      <family val="2"/>
      <scheme val="minor"/>
    </font>
    <font>
      <sz val="12"/>
      <color theme="4" tint="-0.499984740745262"/>
      <name val="Arial"/>
      <family val="2"/>
    </font>
    <font>
      <b/>
      <u/>
      <sz val="12"/>
      <color theme="1"/>
      <name val="Arial"/>
      <family val="2"/>
    </font>
    <font>
      <i/>
      <sz val="12"/>
      <color theme="4" tint="-0.499984740745262"/>
      <name val="Arial"/>
      <family val="2"/>
    </font>
    <font>
      <sz val="12"/>
      <color rgb="FF000000"/>
      <name val="Arial"/>
      <family val="2"/>
    </font>
    <font>
      <b/>
      <sz val="14"/>
      <color rgb="FF202124"/>
      <name val="Arial"/>
      <family val="2"/>
    </font>
    <font>
      <b/>
      <sz val="14"/>
      <color theme="0"/>
      <name val="Arial"/>
      <family val="2"/>
    </font>
    <font>
      <i/>
      <sz val="12"/>
      <color theme="1"/>
      <name val="Arial"/>
      <family val="2"/>
    </font>
    <font>
      <sz val="11"/>
      <color theme="1"/>
      <name val="Verdana"/>
      <family val="2"/>
    </font>
    <font>
      <sz val="12"/>
      <color theme="1"/>
      <name val="Verdana"/>
      <family val="2"/>
    </font>
    <font>
      <b/>
      <sz val="12"/>
      <color theme="0"/>
      <name val="Verdana"/>
      <family val="2"/>
    </font>
    <font>
      <sz val="11"/>
      <color theme="1"/>
      <name val="Arial"/>
      <family val="2"/>
    </font>
    <font>
      <b/>
      <sz val="11"/>
      <color theme="0"/>
      <name val="Arial"/>
      <family val="2"/>
    </font>
    <font>
      <b/>
      <i/>
      <sz val="11"/>
      <color theme="0"/>
      <name val="Arial"/>
      <family val="2"/>
    </font>
    <font>
      <b/>
      <sz val="11"/>
      <color theme="0"/>
      <name val="Aptos Narrow"/>
      <family val="2"/>
      <scheme val="minor"/>
    </font>
    <font>
      <sz val="12"/>
      <color theme="0"/>
      <name val="Arial"/>
      <family val="2"/>
    </font>
    <font>
      <b/>
      <sz val="12"/>
      <color theme="3"/>
      <name val="Verdana"/>
      <family val="2"/>
    </font>
    <font>
      <sz val="12"/>
      <color theme="0"/>
      <name val="Verdana"/>
      <family val="2"/>
    </font>
    <font>
      <b/>
      <sz val="12"/>
      <color theme="1" tint="4.9989318521683403E-2"/>
      <name val="Verdana"/>
      <family val="2"/>
    </font>
    <font>
      <b/>
      <sz val="16"/>
      <color theme="3"/>
      <name val="Arial"/>
      <family val="2"/>
    </font>
    <font>
      <b/>
      <sz val="14"/>
      <color theme="3"/>
      <name val="Arial"/>
      <family val="2"/>
    </font>
  </fonts>
  <fills count="11">
    <fill>
      <patternFill patternType="none"/>
    </fill>
    <fill>
      <patternFill patternType="gray125"/>
    </fill>
    <fill>
      <patternFill patternType="solid">
        <fgColor theme="4" tint="-0.499984740745262"/>
        <bgColor indexed="64"/>
      </patternFill>
    </fill>
    <fill>
      <patternFill patternType="solid">
        <fgColor theme="8" tint="-0.499984740745262"/>
        <bgColor indexed="64"/>
      </patternFill>
    </fill>
    <fill>
      <patternFill patternType="solid">
        <fgColor theme="2"/>
        <bgColor indexed="64"/>
      </patternFill>
    </fill>
    <fill>
      <patternFill patternType="solid">
        <fgColor theme="1"/>
        <bgColor indexed="64"/>
      </patternFill>
    </fill>
    <fill>
      <patternFill patternType="solid">
        <fgColor rgb="FF0070C0"/>
        <bgColor indexed="64"/>
      </patternFill>
    </fill>
    <fill>
      <patternFill patternType="solid">
        <fgColor theme="0"/>
        <bgColor indexed="64"/>
      </patternFill>
    </fill>
    <fill>
      <patternFill patternType="solid">
        <fgColor rgb="FF0070C0"/>
        <bgColor theme="4"/>
      </patternFill>
    </fill>
    <fill>
      <patternFill patternType="solid">
        <fgColor theme="1"/>
        <bgColor theme="1"/>
      </patternFill>
    </fill>
    <fill>
      <patternFill patternType="solid">
        <fgColor rgb="FFC00000"/>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style="thin">
        <color theme="4"/>
      </left>
      <right/>
      <top/>
      <bottom/>
      <diagonal/>
    </border>
    <border>
      <left style="thin">
        <color rgb="FF000000"/>
      </left>
      <right/>
      <top style="thin">
        <color rgb="FF000000"/>
      </top>
      <bottom/>
      <diagonal/>
    </border>
    <border>
      <left style="thin">
        <color theme="4"/>
      </left>
      <right/>
      <top style="thin">
        <color theme="4"/>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top style="thin">
        <color theme="4"/>
      </top>
      <bottom/>
      <diagonal/>
    </border>
    <border>
      <left/>
      <right style="thin">
        <color theme="4"/>
      </right>
      <top style="thin">
        <color theme="4"/>
      </top>
      <bottom/>
      <diagonal/>
    </border>
    <border>
      <left style="thin">
        <color rgb="FF000000"/>
      </left>
      <right/>
      <top style="thin">
        <color theme="4"/>
      </top>
      <bottom/>
      <diagonal/>
    </border>
    <border>
      <left/>
      <right/>
      <top style="thin">
        <color rgb="FF4472C4"/>
      </top>
      <bottom/>
      <diagonal/>
    </border>
    <border>
      <left/>
      <right style="thin">
        <color rgb="FF4472C4"/>
      </right>
      <top style="thin">
        <color rgb="FF4472C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theme="4"/>
      </left>
      <right/>
      <top style="thin">
        <color theme="4"/>
      </top>
      <bottom style="thin">
        <color theme="4"/>
      </bottom>
      <diagonal/>
    </border>
    <border>
      <left style="medium">
        <color indexed="64"/>
      </left>
      <right style="medium">
        <color indexed="64"/>
      </right>
      <top style="medium">
        <color indexed="64"/>
      </top>
      <bottom/>
      <diagonal/>
    </border>
    <border>
      <left style="thin">
        <color theme="4"/>
      </left>
      <right/>
      <top style="thin">
        <color theme="1"/>
      </top>
      <bottom/>
      <diagonal/>
    </border>
    <border>
      <left/>
      <right/>
      <top/>
      <bottom style="thick">
        <color rgb="FFC00000"/>
      </bottom>
      <diagonal/>
    </border>
    <border>
      <left style="thick">
        <color rgb="FFC00000"/>
      </left>
      <right/>
      <top/>
      <bottom/>
      <diagonal/>
    </border>
    <border>
      <left style="thick">
        <color rgb="FFC00000"/>
      </left>
      <right style="thick">
        <color rgb="FFC00000"/>
      </right>
      <top style="thick">
        <color rgb="FFC00000"/>
      </top>
      <bottom/>
      <diagonal/>
    </border>
    <border>
      <left style="thick">
        <color rgb="FFC00000"/>
      </left>
      <right/>
      <top/>
      <bottom style="thick">
        <color rgb="FFC00000"/>
      </bottom>
      <diagonal/>
    </border>
    <border>
      <left style="thick">
        <color rgb="FFC00000"/>
      </left>
      <right style="thick">
        <color rgb="FFC00000"/>
      </right>
      <top/>
      <bottom/>
      <diagonal/>
    </border>
  </borders>
  <cellStyleXfs count="6">
    <xf numFmtId="0" fontId="0" fillId="0" borderId="0"/>
    <xf numFmtId="44" fontId="2" fillId="0" borderId="0" applyFont="0" applyFill="0" applyBorder="0" applyAlignment="0" applyProtection="0"/>
    <xf numFmtId="9" fontId="2" fillId="0" borderId="0" applyFont="0" applyFill="0" applyBorder="0" applyAlignment="0" applyProtection="0"/>
    <xf numFmtId="0" fontId="31" fillId="0" borderId="1" applyNumberFormat="0" applyFill="0" applyAlignment="0" applyProtection="0"/>
    <xf numFmtId="0" fontId="32" fillId="0" borderId="2" applyNumberFormat="0" applyFill="0" applyAlignment="0" applyProtection="0"/>
    <xf numFmtId="0" fontId="4" fillId="0" borderId="0" applyNumberFormat="0" applyFill="0" applyBorder="0" applyAlignment="0" applyProtection="0"/>
  </cellStyleXfs>
  <cellXfs count="166">
    <xf numFmtId="0" fontId="0" fillId="0" borderId="0" xfId="0"/>
    <xf numFmtId="0" fontId="31" fillId="0" borderId="1" xfId="3"/>
    <xf numFmtId="0" fontId="5" fillId="0" borderId="0" xfId="0" applyFont="1" applyAlignment="1">
      <alignment horizontal="left" vertical="top" wrapText="1"/>
    </xf>
    <xf numFmtId="0" fontId="6" fillId="0" borderId="0" xfId="0" applyFont="1" applyAlignment="1">
      <alignment horizontal="left" vertical="top" wrapText="1"/>
    </xf>
    <xf numFmtId="0" fontId="5" fillId="0" borderId="0" xfId="0" applyFont="1" applyAlignment="1">
      <alignment vertical="top" wrapText="1"/>
    </xf>
    <xf numFmtId="0" fontId="6" fillId="0" borderId="0" xfId="0" applyFont="1" applyAlignment="1">
      <alignment wrapText="1"/>
    </xf>
    <xf numFmtId="0" fontId="5" fillId="0" borderId="0" xfId="0" applyFont="1" applyAlignment="1">
      <alignment wrapText="1"/>
    </xf>
    <xf numFmtId="0" fontId="7" fillId="0" borderId="0" xfId="5" applyFont="1" applyAlignment="1">
      <alignment wrapText="1"/>
    </xf>
    <xf numFmtId="14" fontId="5" fillId="0" borderId="0" xfId="0" applyNumberFormat="1" applyFont="1" applyAlignment="1">
      <alignment horizontal="left" wrapText="1"/>
    </xf>
    <xf numFmtId="0" fontId="8" fillId="0" borderId="0" xfId="0" applyFont="1"/>
    <xf numFmtId="0" fontId="0" fillId="0" borderId="0" xfId="0" applyAlignment="1">
      <alignment horizontal="center"/>
    </xf>
    <xf numFmtId="14" fontId="0" fillId="0" borderId="0" xfId="0" applyNumberFormat="1" applyAlignment="1">
      <alignment horizontal="center"/>
    </xf>
    <xf numFmtId="0" fontId="9" fillId="2" borderId="3" xfId="0" applyFont="1" applyFill="1" applyBorder="1" applyAlignment="1">
      <alignment vertical="center" wrapText="1"/>
    </xf>
    <xf numFmtId="0" fontId="9" fillId="2" borderId="0" xfId="0" applyFont="1" applyFill="1" applyAlignment="1">
      <alignment horizontal="center"/>
    </xf>
    <xf numFmtId="0" fontId="10" fillId="0" borderId="4" xfId="5" applyFont="1" applyBorder="1" applyAlignment="1">
      <alignment horizontal="left" vertical="center" wrapText="1"/>
    </xf>
    <xf numFmtId="0" fontId="11" fillId="0" borderId="4" xfId="5" applyFont="1" applyBorder="1" applyAlignment="1">
      <alignment horizontal="left" vertical="center" wrapText="1"/>
    </xf>
    <xf numFmtId="0" fontId="12" fillId="0" borderId="4" xfId="5" applyFont="1" applyBorder="1" applyAlignment="1">
      <alignment horizontal="left" vertical="center" wrapText="1"/>
    </xf>
    <xf numFmtId="0" fontId="10" fillId="0" borderId="0" xfId="5" applyFont="1" applyAlignment="1">
      <alignment horizontal="left" vertical="center" wrapText="1"/>
    </xf>
    <xf numFmtId="0" fontId="0" fillId="3" borderId="0" xfId="0" applyFill="1" applyAlignment="1">
      <alignment wrapText="1"/>
    </xf>
    <xf numFmtId="0" fontId="0" fillId="3" borderId="0" xfId="0" applyFill="1" applyAlignment="1">
      <alignment horizontal="center" wrapText="1"/>
    </xf>
    <xf numFmtId="0" fontId="0" fillId="3" borderId="0" xfId="0" applyFill="1" applyAlignment="1">
      <alignment horizontal="center"/>
    </xf>
    <xf numFmtId="0" fontId="0" fillId="0" borderId="0" xfId="0" applyAlignment="1">
      <alignment wrapText="1"/>
    </xf>
    <xf numFmtId="0" fontId="10" fillId="0" borderId="6" xfId="5" applyFont="1" applyBorder="1" applyAlignment="1">
      <alignment wrapText="1"/>
    </xf>
    <xf numFmtId="164" fontId="13" fillId="0" borderId="0" xfId="5" applyNumberFormat="1" applyFont="1" applyAlignment="1">
      <alignment horizontal="center" wrapText="1"/>
    </xf>
    <xf numFmtId="0" fontId="13" fillId="0" borderId="6" xfId="5" applyFont="1" applyBorder="1" applyAlignment="1">
      <alignment horizontal="center"/>
    </xf>
    <xf numFmtId="0" fontId="13" fillId="0" borderId="0" xfId="5" applyFont="1" applyAlignment="1">
      <alignment horizontal="center" wrapText="1"/>
    </xf>
    <xf numFmtId="0" fontId="11" fillId="0" borderId="6" xfId="5" applyFont="1" applyBorder="1" applyAlignment="1">
      <alignment horizontal="left" wrapText="1"/>
    </xf>
    <xf numFmtId="0" fontId="0" fillId="0" borderId="0" xfId="5" applyFont="1" applyAlignment="1">
      <alignment horizontal="center" wrapText="1"/>
    </xf>
    <xf numFmtId="1" fontId="13" fillId="0" borderId="6" xfId="5" applyNumberFormat="1" applyFont="1" applyBorder="1" applyAlignment="1">
      <alignment horizontal="center"/>
    </xf>
    <xf numFmtId="1" fontId="13" fillId="0" borderId="0" xfId="5" applyNumberFormat="1" applyFont="1" applyAlignment="1">
      <alignment horizontal="center"/>
    </xf>
    <xf numFmtId="0" fontId="14" fillId="0" borderId="7" xfId="5" applyFont="1" applyBorder="1" applyAlignment="1">
      <alignment horizontal="left" wrapText="1"/>
    </xf>
    <xf numFmtId="0" fontId="12" fillId="0" borderId="6" xfId="5" applyFont="1" applyBorder="1" applyAlignment="1">
      <alignment horizontal="left" wrapText="1"/>
    </xf>
    <xf numFmtId="0" fontId="1" fillId="0" borderId="0" xfId="5" applyFont="1" applyAlignment="1">
      <alignment horizontal="center" wrapText="1"/>
    </xf>
    <xf numFmtId="1" fontId="13" fillId="0" borderId="4" xfId="5" applyNumberFormat="1" applyFont="1" applyBorder="1" applyAlignment="1">
      <alignment horizontal="center"/>
    </xf>
    <xf numFmtId="0" fontId="10" fillId="0" borderId="4" xfId="5" applyFont="1" applyBorder="1" applyAlignment="1">
      <alignment wrapText="1"/>
    </xf>
    <xf numFmtId="0" fontId="13" fillId="0" borderId="8" xfId="5" applyFont="1" applyBorder="1" applyAlignment="1">
      <alignment horizontal="center"/>
    </xf>
    <xf numFmtId="0" fontId="0" fillId="0" borderId="8" xfId="0" applyBorder="1" applyAlignment="1">
      <alignment horizontal="center"/>
    </xf>
    <xf numFmtId="0" fontId="12" fillId="0" borderId="4" xfId="5" applyFont="1" applyBorder="1" applyAlignment="1">
      <alignment horizontal="left" wrapText="1"/>
    </xf>
    <xf numFmtId="1" fontId="15" fillId="0" borderId="8" xfId="5" applyNumberFormat="1" applyFont="1" applyBorder="1" applyAlignment="1">
      <alignment horizontal="center"/>
    </xf>
    <xf numFmtId="1" fontId="13" fillId="0" borderId="8" xfId="5" applyNumberFormat="1" applyFont="1" applyBorder="1" applyAlignment="1">
      <alignment horizontal="center"/>
    </xf>
    <xf numFmtId="0" fontId="13" fillId="0" borderId="9" xfId="5" applyFont="1" applyBorder="1" applyAlignment="1">
      <alignment horizontal="center"/>
    </xf>
    <xf numFmtId="0" fontId="0" fillId="0" borderId="9" xfId="0" applyBorder="1" applyAlignment="1">
      <alignment horizontal="center"/>
    </xf>
    <xf numFmtId="0" fontId="13" fillId="0" borderId="4" xfId="5" applyFont="1" applyBorder="1" applyAlignment="1">
      <alignment wrapText="1"/>
    </xf>
    <xf numFmtId="0" fontId="13" fillId="0" borderId="4" xfId="5" applyFont="1" applyBorder="1" applyAlignment="1">
      <alignment horizontal="center" wrapText="1"/>
    </xf>
    <xf numFmtId="0" fontId="10" fillId="0" borderId="7" xfId="5" applyFont="1" applyBorder="1" applyAlignment="1">
      <alignment wrapText="1"/>
    </xf>
    <xf numFmtId="0" fontId="13" fillId="0" borderId="7" xfId="5" applyFont="1" applyBorder="1" applyAlignment="1">
      <alignment horizontal="center" wrapText="1"/>
    </xf>
    <xf numFmtId="0" fontId="10" fillId="0" borderId="7" xfId="5" applyFont="1" applyBorder="1" applyAlignment="1">
      <alignment horizontal="center" wrapText="1"/>
    </xf>
    <xf numFmtId="165" fontId="13" fillId="0" borderId="7" xfId="5" applyNumberFormat="1" applyFont="1" applyBorder="1" applyAlignment="1">
      <alignment horizontal="center"/>
    </xf>
    <xf numFmtId="165" fontId="13" fillId="0" borderId="0" xfId="5" applyNumberFormat="1" applyFont="1" applyAlignment="1">
      <alignment horizontal="center"/>
    </xf>
    <xf numFmtId="0" fontId="13" fillId="0" borderId="0" xfId="0" applyFont="1" applyAlignment="1">
      <alignment wrapText="1"/>
    </xf>
    <xf numFmtId="0" fontId="13" fillId="0" borderId="0" xfId="0" applyFont="1" applyAlignment="1">
      <alignment horizontal="center" wrapText="1"/>
    </xf>
    <xf numFmtId="0" fontId="3" fillId="0" borderId="0" xfId="0" applyFont="1" applyAlignment="1">
      <alignment horizontal="center"/>
    </xf>
    <xf numFmtId="0" fontId="16" fillId="0" borderId="0" xfId="0" applyFont="1"/>
    <xf numFmtId="0" fontId="16" fillId="0" borderId="0" xfId="0" applyFont="1" applyAlignment="1">
      <alignment horizontal="center"/>
    </xf>
    <xf numFmtId="0" fontId="13" fillId="0" borderId="0" xfId="0" applyFont="1"/>
    <xf numFmtId="0" fontId="13" fillId="0" borderId="0" xfId="0" applyFont="1" applyAlignment="1">
      <alignment horizontal="center"/>
    </xf>
    <xf numFmtId="3" fontId="17" fillId="0" borderId="0" xfId="0" applyNumberFormat="1" applyFont="1" applyAlignment="1">
      <alignment horizontal="center"/>
    </xf>
    <xf numFmtId="0" fontId="0" fillId="0" borderId="0" xfId="0" applyAlignment="1">
      <alignment vertical="center" wrapText="1"/>
    </xf>
    <xf numFmtId="0" fontId="0" fillId="0" borderId="0" xfId="0" applyAlignment="1">
      <alignment vertical="center"/>
    </xf>
    <xf numFmtId="0" fontId="10" fillId="0" borderId="12" xfId="5" applyFont="1" applyBorder="1" applyAlignment="1">
      <alignment horizontal="left" vertical="center" wrapText="1"/>
    </xf>
    <xf numFmtId="0" fontId="0" fillId="0" borderId="10" xfId="0" applyBorder="1" applyAlignment="1">
      <alignment vertical="center"/>
    </xf>
    <xf numFmtId="0" fontId="0" fillId="0" borderId="0" xfId="0" applyAlignment="1">
      <alignment horizontal="center" vertical="center" wrapText="1"/>
    </xf>
    <xf numFmtId="0" fontId="0" fillId="0" borderId="0" xfId="0" applyAlignment="1">
      <alignment horizontal="left" vertical="center" wrapText="1"/>
    </xf>
    <xf numFmtId="0" fontId="19" fillId="0" borderId="0" xfId="0" applyFont="1" applyAlignment="1">
      <alignment vertical="center"/>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1" fillId="0" borderId="0" xfId="0" applyFont="1" applyAlignment="1">
      <alignment vertical="center"/>
    </xf>
    <xf numFmtId="0" fontId="0" fillId="0" borderId="10" xfId="0" applyBorder="1" applyAlignment="1">
      <alignment horizontal="left" vertical="center" wrapText="1"/>
    </xf>
    <xf numFmtId="0" fontId="14" fillId="0" borderId="4" xfId="5" applyFont="1" applyBorder="1" applyAlignment="1">
      <alignment horizontal="left" vertical="center" wrapText="1"/>
    </xf>
    <xf numFmtId="0" fontId="10" fillId="4" borderId="4" xfId="5" applyFont="1" applyFill="1" applyBorder="1" applyAlignment="1">
      <alignment horizontal="left" vertical="center" wrapText="1"/>
    </xf>
    <xf numFmtId="0" fontId="0" fillId="4" borderId="10" xfId="0" applyFill="1" applyBorder="1" applyAlignment="1">
      <alignment vertical="center"/>
    </xf>
    <xf numFmtId="0" fontId="0" fillId="4" borderId="0" xfId="0" applyFill="1" applyAlignment="1">
      <alignment horizontal="center" vertical="center" wrapText="1"/>
    </xf>
    <xf numFmtId="0" fontId="0" fillId="0" borderId="15" xfId="0" applyBorder="1" applyAlignment="1">
      <alignment horizontal="center" vertical="center" wrapText="1"/>
    </xf>
    <xf numFmtId="0" fontId="0" fillId="0" borderId="15" xfId="0" applyBorder="1" applyAlignment="1">
      <alignment horizontal="left" vertical="center" wrapText="1"/>
    </xf>
    <xf numFmtId="0" fontId="13" fillId="0" borderId="4" xfId="5" applyFont="1" applyBorder="1" applyAlignment="1">
      <alignment horizontal="left" vertical="center" wrapText="1"/>
    </xf>
    <xf numFmtId="0" fontId="16" fillId="0" borderId="0" xfId="0" applyFont="1" applyAlignment="1">
      <alignment horizontal="center" vertical="center" wrapText="1"/>
    </xf>
    <xf numFmtId="0" fontId="3" fillId="0" borderId="0" xfId="0" applyFont="1" applyAlignment="1">
      <alignment horizontal="center" vertical="center" wrapText="1"/>
    </xf>
    <xf numFmtId="0" fontId="13" fillId="0" borderId="0" xfId="0" applyFont="1" applyAlignment="1">
      <alignment vertical="center" wrapText="1"/>
    </xf>
    <xf numFmtId="0" fontId="3" fillId="0" borderId="0" xfId="0" applyFont="1" applyAlignment="1">
      <alignment vertical="center"/>
    </xf>
    <xf numFmtId="0" fontId="0" fillId="0" borderId="0" xfId="0" applyAlignment="1">
      <alignment horizontal="center" vertical="center"/>
    </xf>
    <xf numFmtId="0" fontId="23" fillId="0" borderId="0" xfId="0" applyFont="1"/>
    <xf numFmtId="0" fontId="32" fillId="0" borderId="2" xfId="4" applyAlignment="1">
      <alignment horizontal="left" vertical="center"/>
    </xf>
    <xf numFmtId="0" fontId="20" fillId="0" borderId="0" xfId="0" applyFont="1" applyAlignment="1">
      <alignment vertical="center" wrapText="1"/>
    </xf>
    <xf numFmtId="0" fontId="20" fillId="0" borderId="0" xfId="0" applyFont="1" applyAlignment="1">
      <alignment horizontal="center" vertical="center"/>
    </xf>
    <xf numFmtId="0" fontId="20" fillId="0" borderId="0" xfId="0" applyFont="1" applyAlignment="1">
      <alignment horizontal="center"/>
    </xf>
    <xf numFmtId="0" fontId="20" fillId="0" borderId="5" xfId="0" applyFont="1" applyBorder="1"/>
    <xf numFmtId="0" fontId="22" fillId="5" borderId="10" xfId="0" applyFont="1" applyFill="1" applyBorder="1" applyAlignment="1">
      <alignment horizontal="center" wrapText="1"/>
    </xf>
    <xf numFmtId="0" fontId="22" fillId="5" borderId="25" xfId="0" applyFont="1" applyFill="1" applyBorder="1" applyAlignment="1">
      <alignment horizontal="center"/>
    </xf>
    <xf numFmtId="0" fontId="0" fillId="0" borderId="0" xfId="0" quotePrefix="1" applyAlignment="1">
      <alignment vertical="center" wrapText="1"/>
    </xf>
    <xf numFmtId="0" fontId="32" fillId="0" borderId="2" xfId="4"/>
    <xf numFmtId="1" fontId="20" fillId="0" borderId="0" xfId="0" applyNumberFormat="1" applyFont="1" applyAlignment="1">
      <alignment horizontal="left" vertical="center" wrapText="1" indent="1"/>
    </xf>
    <xf numFmtId="0" fontId="28" fillId="0" borderId="2" xfId="4" applyFont="1"/>
    <xf numFmtId="0" fontId="21" fillId="0" borderId="0" xfId="0" applyFont="1" applyAlignment="1">
      <alignment horizontal="center"/>
    </xf>
    <xf numFmtId="0" fontId="20" fillId="0" borderId="8" xfId="0" applyFont="1" applyBorder="1"/>
    <xf numFmtId="0" fontId="20" fillId="0" borderId="8" xfId="0" applyFont="1" applyBorder="1" applyAlignment="1">
      <alignment horizontal="center"/>
    </xf>
    <xf numFmtId="9" fontId="20" fillId="0" borderId="8" xfId="2" applyFont="1" applyBorder="1" applyAlignment="1">
      <alignment horizontal="center"/>
    </xf>
    <xf numFmtId="0" fontId="20" fillId="0" borderId="22" xfId="0" applyFont="1" applyBorder="1"/>
    <xf numFmtId="0" fontId="20" fillId="0" borderId="22" xfId="0" applyFont="1" applyBorder="1" applyAlignment="1">
      <alignment horizontal="center"/>
    </xf>
    <xf numFmtId="9" fontId="20" fillId="0" borderId="22" xfId="2" applyFont="1" applyBorder="1" applyAlignment="1">
      <alignment horizontal="center"/>
    </xf>
    <xf numFmtId="0" fontId="20" fillId="0" borderId="0" xfId="0" applyFont="1" applyAlignment="1">
      <alignment wrapText="1"/>
    </xf>
    <xf numFmtId="0" fontId="32" fillId="0" borderId="2" xfId="4" applyAlignment="1">
      <alignment vertical="center"/>
    </xf>
    <xf numFmtId="0" fontId="0" fillId="5" borderId="0" xfId="0" applyFill="1"/>
    <xf numFmtId="0" fontId="20" fillId="0" borderId="0" xfId="0" applyFont="1" applyAlignment="1">
      <alignment horizontal="right"/>
    </xf>
    <xf numFmtId="0" fontId="20" fillId="0" borderId="0" xfId="0" applyFont="1"/>
    <xf numFmtId="0" fontId="30" fillId="7" borderId="0" xfId="0" applyFont="1" applyFill="1" applyAlignment="1">
      <alignment horizontal="center" wrapText="1"/>
    </xf>
    <xf numFmtId="0" fontId="30" fillId="7" borderId="10" xfId="0" applyFont="1" applyFill="1" applyBorder="1" applyAlignment="1">
      <alignment horizontal="center" wrapText="1"/>
    </xf>
    <xf numFmtId="0" fontId="30" fillId="7" borderId="11" xfId="0" applyFont="1" applyFill="1" applyBorder="1" applyAlignment="1">
      <alignment horizontal="center" wrapText="1"/>
    </xf>
    <xf numFmtId="0" fontId="9" fillId="5" borderId="5" xfId="0" applyFont="1" applyFill="1" applyBorder="1"/>
    <xf numFmtId="0" fontId="0" fillId="0" borderId="15" xfId="0" applyBorder="1" applyAlignment="1">
      <alignment horizontal="center"/>
    </xf>
    <xf numFmtId="0" fontId="0" fillId="0" borderId="8" xfId="0" applyBorder="1" applyAlignment="1">
      <alignment vertical="center"/>
    </xf>
    <xf numFmtId="0" fontId="0" fillId="0" borderId="16" xfId="0" applyBorder="1" applyAlignment="1">
      <alignment vertical="center"/>
    </xf>
    <xf numFmtId="0" fontId="23" fillId="0" borderId="20" xfId="0" applyFont="1" applyBorder="1" applyAlignment="1">
      <alignment horizontal="left" vertical="center" wrapText="1" indent="1"/>
    </xf>
    <xf numFmtId="0" fontId="23" fillId="0" borderId="19" xfId="0" applyFont="1" applyBorder="1" applyAlignment="1">
      <alignment horizontal="left" vertical="center"/>
    </xf>
    <xf numFmtId="0" fontId="23" fillId="0" borderId="20" xfId="0" applyFont="1" applyBorder="1" applyAlignment="1">
      <alignment horizontal="left" vertical="center" indent="1"/>
    </xf>
    <xf numFmtId="0" fontId="23" fillId="0" borderId="8" xfId="0" applyFont="1" applyBorder="1" applyAlignment="1">
      <alignment horizontal="left" vertical="center"/>
    </xf>
    <xf numFmtId="0" fontId="23" fillId="0" borderId="0" xfId="0" applyFont="1" applyAlignment="1">
      <alignment horizontal="center"/>
    </xf>
    <xf numFmtId="0" fontId="23" fillId="0" borderId="0" xfId="0" applyFont="1" applyAlignment="1">
      <alignment horizontal="left"/>
    </xf>
    <xf numFmtId="0" fontId="23" fillId="0" borderId="8" xfId="0" applyFont="1" applyBorder="1" applyAlignment="1">
      <alignment horizontal="left" vertical="center" wrapText="1"/>
    </xf>
    <xf numFmtId="0" fontId="23" fillId="0" borderId="21" xfId="0" applyFont="1" applyBorder="1" applyAlignment="1">
      <alignment horizontal="left" vertical="center" indent="1"/>
    </xf>
    <xf numFmtId="0" fontId="23" fillId="0" borderId="17" xfId="0" applyFont="1" applyBorder="1" applyAlignment="1">
      <alignment horizontal="left" vertical="center" wrapText="1" indent="1"/>
    </xf>
    <xf numFmtId="0" fontId="23" fillId="0" borderId="22" xfId="0" applyFont="1" applyBorder="1" applyAlignment="1">
      <alignment horizontal="left" vertical="center" wrapText="1"/>
    </xf>
    <xf numFmtId="0" fontId="20" fillId="0" borderId="24" xfId="0" applyFont="1" applyBorder="1" applyAlignment="1">
      <alignment vertical="center"/>
    </xf>
    <xf numFmtId="0" fontId="20" fillId="0" borderId="0" xfId="0" applyFont="1" applyAlignment="1">
      <alignment horizontal="right" vertical="center"/>
    </xf>
    <xf numFmtId="0" fontId="0" fillId="0" borderId="27" xfId="0" applyBorder="1"/>
    <xf numFmtId="0" fontId="30" fillId="7" borderId="28" xfId="0" applyFont="1" applyFill="1" applyBorder="1" applyAlignment="1">
      <alignment horizontal="center" wrapText="1"/>
    </xf>
    <xf numFmtId="0" fontId="0" fillId="0" borderId="30" xfId="0" applyBorder="1" applyAlignment="1">
      <alignment horizontal="center" vertical="center"/>
    </xf>
    <xf numFmtId="0" fontId="20" fillId="0" borderId="28" xfId="0" applyFont="1" applyBorder="1" applyAlignment="1">
      <alignment horizontal="right" vertical="center"/>
    </xf>
    <xf numFmtId="0" fontId="20" fillId="0" borderId="28" xfId="0" applyFont="1" applyBorder="1" applyAlignment="1">
      <alignment horizontal="right"/>
    </xf>
    <xf numFmtId="0" fontId="18" fillId="8" borderId="3" xfId="0" applyFont="1" applyFill="1" applyBorder="1" applyAlignment="1">
      <alignment vertical="center" wrapText="1"/>
    </xf>
    <xf numFmtId="0" fontId="18" fillId="8" borderId="0" xfId="0" applyFont="1" applyFill="1" applyAlignment="1">
      <alignment vertical="center"/>
    </xf>
    <xf numFmtId="0" fontId="6" fillId="6" borderId="0" xfId="0" applyFont="1" applyFill="1" applyAlignment="1">
      <alignment horizontal="center" vertical="center"/>
    </xf>
    <xf numFmtId="0" fontId="18" fillId="8" borderId="0" xfId="0" applyFont="1" applyFill="1" applyAlignment="1">
      <alignment horizontal="center" vertical="center" wrapText="1"/>
    </xf>
    <xf numFmtId="2" fontId="18" fillId="8" borderId="0" xfId="0" applyNumberFormat="1" applyFont="1" applyFill="1" applyAlignment="1">
      <alignment horizontal="center" vertical="center" wrapText="1"/>
    </xf>
    <xf numFmtId="1" fontId="0" fillId="0" borderId="0" xfId="0" applyNumberFormat="1" applyAlignment="1">
      <alignment vertical="center"/>
    </xf>
    <xf numFmtId="49" fontId="19" fillId="0" borderId="8" xfId="0" applyNumberFormat="1" applyFont="1" applyBorder="1" applyAlignment="1">
      <alignment horizontal="center" vertical="center" wrapText="1"/>
    </xf>
    <xf numFmtId="49" fontId="19" fillId="0" borderId="0" xfId="0" applyNumberFormat="1" applyFont="1" applyAlignment="1">
      <alignment horizontal="center" vertical="center" wrapText="1"/>
    </xf>
    <xf numFmtId="0" fontId="0" fillId="0" borderId="0" xfId="0" applyAlignment="1">
      <alignment horizontal="center" wrapText="1"/>
    </xf>
    <xf numFmtId="164" fontId="19" fillId="0" borderId="8" xfId="0" applyNumberFormat="1" applyFont="1" applyBorder="1" applyAlignment="1">
      <alignment horizontal="center" vertical="center" wrapText="1"/>
    </xf>
    <xf numFmtId="14" fontId="19" fillId="0" borderId="8" xfId="0" applyNumberFormat="1" applyFont="1" applyBorder="1" applyAlignment="1">
      <alignment horizontal="center" vertical="center" wrapText="1"/>
    </xf>
    <xf numFmtId="0" fontId="19" fillId="0" borderId="8" xfId="0" applyFont="1" applyBorder="1" applyAlignment="1">
      <alignment horizontal="center" vertical="center" wrapText="1"/>
    </xf>
    <xf numFmtId="0" fontId="19" fillId="0" borderId="20" xfId="1" applyNumberFormat="1" applyFont="1" applyBorder="1" applyAlignment="1">
      <alignment horizontal="center" vertical="center" wrapText="1"/>
    </xf>
    <xf numFmtId="1" fontId="19" fillId="0" borderId="8" xfId="0" applyNumberFormat="1" applyFont="1" applyBorder="1" applyAlignment="1">
      <alignment horizontal="center" vertical="center" wrapText="1"/>
    </xf>
    <xf numFmtId="49" fontId="19" fillId="0" borderId="22" xfId="0" applyNumberFormat="1" applyFont="1" applyBorder="1" applyAlignment="1">
      <alignment horizontal="center" vertical="center" wrapText="1"/>
    </xf>
    <xf numFmtId="49" fontId="19" fillId="0" borderId="23" xfId="0" applyNumberFormat="1" applyFont="1" applyBorder="1" applyAlignment="1">
      <alignment horizontal="center" vertical="center" wrapText="1"/>
    </xf>
    <xf numFmtId="0" fontId="21" fillId="10" borderId="0" xfId="0" applyFont="1" applyFill="1" applyAlignment="1">
      <alignment vertical="center"/>
    </xf>
    <xf numFmtId="0" fontId="21" fillId="10" borderId="0" xfId="0" applyFont="1" applyFill="1" applyAlignment="1">
      <alignment horizontal="center" vertical="center" wrapText="1"/>
    </xf>
    <xf numFmtId="1" fontId="18" fillId="5" borderId="17" xfId="0" applyNumberFormat="1" applyFont="1" applyFill="1" applyBorder="1" applyAlignment="1">
      <alignment horizontal="center" vertical="center" wrapText="1"/>
    </xf>
    <xf numFmtId="0" fontId="18" fillId="5" borderId="0" xfId="0" applyFont="1" applyFill="1" applyAlignment="1">
      <alignment horizontal="center"/>
    </xf>
    <xf numFmtId="0" fontId="24" fillId="10" borderId="18" xfId="0" applyFont="1" applyFill="1" applyBorder="1" applyAlignment="1">
      <alignment horizontal="left" vertical="center"/>
    </xf>
    <xf numFmtId="49" fontId="25" fillId="10" borderId="19" xfId="0" applyNumberFormat="1" applyFont="1" applyFill="1" applyBorder="1" applyAlignment="1">
      <alignment horizontal="center" vertical="center" wrapText="1"/>
    </xf>
    <xf numFmtId="0" fontId="24" fillId="10" borderId="19" xfId="0" applyFont="1" applyFill="1" applyBorder="1" applyAlignment="1">
      <alignment horizontal="left" vertical="center"/>
    </xf>
    <xf numFmtId="0" fontId="26" fillId="10" borderId="0" xfId="0" applyFont="1" applyFill="1" applyAlignment="1">
      <alignment vertical="center"/>
    </xf>
    <xf numFmtId="0" fontId="27" fillId="5" borderId="0" xfId="0" applyFont="1" applyFill="1"/>
    <xf numFmtId="0" fontId="22" fillId="5" borderId="29" xfId="0" applyFont="1" applyFill="1" applyBorder="1" applyAlignment="1">
      <alignment horizontal="center"/>
    </xf>
    <xf numFmtId="0" fontId="0" fillId="5" borderId="28" xfId="0" applyFill="1" applyBorder="1"/>
    <xf numFmtId="0" fontId="0" fillId="5" borderId="31" xfId="0" applyFill="1" applyBorder="1"/>
    <xf numFmtId="0" fontId="0" fillId="10" borderId="0" xfId="0" applyFill="1"/>
    <xf numFmtId="0" fontId="0" fillId="10" borderId="0" xfId="0" applyFill="1" applyAlignment="1">
      <alignment horizontal="center" vertical="top"/>
    </xf>
    <xf numFmtId="0" fontId="0" fillId="10" borderId="0" xfId="0" applyFill="1" applyAlignment="1">
      <alignment vertical="top"/>
    </xf>
    <xf numFmtId="0" fontId="0" fillId="10" borderId="0" xfId="0" applyFill="1" applyAlignment="1">
      <alignment vertical="top" wrapText="1"/>
    </xf>
    <xf numFmtId="0" fontId="22" fillId="9" borderId="10" xfId="0" applyFont="1" applyFill="1" applyBorder="1" applyAlignment="1">
      <alignment horizontal="center" wrapText="1"/>
    </xf>
    <xf numFmtId="0" fontId="22" fillId="9" borderId="26" xfId="0" applyFont="1" applyFill="1" applyBorder="1" applyAlignment="1">
      <alignment horizontal="center"/>
    </xf>
    <xf numFmtId="0" fontId="29" fillId="5" borderId="22" xfId="0" applyFont="1" applyFill="1" applyBorder="1" applyAlignment="1">
      <alignment horizontal="center" wrapText="1"/>
    </xf>
    <xf numFmtId="0" fontId="29" fillId="5" borderId="0" xfId="0" applyFont="1" applyFill="1" applyAlignment="1">
      <alignment horizontal="center" wrapText="1"/>
    </xf>
    <xf numFmtId="0" fontId="31" fillId="0" borderId="1" xfId="3" applyAlignment="1">
      <alignment horizontal="left"/>
    </xf>
    <xf numFmtId="0" fontId="31" fillId="0" borderId="1" xfId="3" applyAlignment="1">
      <alignment horizontal="center"/>
    </xf>
  </cellXfs>
  <cellStyles count="6">
    <cellStyle name="Currency" xfId="1" builtinId="4"/>
    <cellStyle name="Heading 1" xfId="3" builtinId="16" customBuiltin="1"/>
    <cellStyle name="Heading 2" xfId="4" builtinId="17" customBuiltin="1"/>
    <cellStyle name="Hyperlink" xfId="5" builtinId="8"/>
    <cellStyle name="Normal" xfId="0" builtinId="0" customBuiltin="1"/>
    <cellStyle name="Percent" xfId="2" builtinId="5"/>
  </cellStyles>
  <dxfs count="108">
    <dxf>
      <font>
        <color theme="0"/>
      </font>
      <fill>
        <patternFill>
          <bgColor rgb="FF7030A0"/>
        </patternFill>
      </fill>
    </dxf>
    <dxf>
      <font>
        <color theme="0"/>
      </font>
      <fill>
        <patternFill>
          <bgColor rgb="FF7030A0"/>
        </patternFill>
      </fill>
    </dxf>
    <dxf>
      <font>
        <color theme="0"/>
      </font>
      <fill>
        <patternFill>
          <bgColor rgb="FF7030A0"/>
        </patternFill>
      </fill>
    </dxf>
    <dxf>
      <font>
        <color theme="1"/>
      </font>
    </dxf>
    <dxf>
      <alignment horizontal="center" vertical="bottom"/>
    </dxf>
    <dxf>
      <numFmt numFmtId="19" formatCode="m/d/yy"/>
      <alignment horizontal="center" vertical="bottom"/>
    </dxf>
    <dxf>
      <font>
        <strike val="0"/>
        <outline val="0"/>
        <shadow val="0"/>
        <vertAlign val="baseline"/>
        <name val="Arial"/>
        <family val="2"/>
      </font>
      <alignment horizontal="center" vertical="bottom"/>
    </dxf>
    <dxf>
      <font>
        <strike val="0"/>
        <outline val="0"/>
        <shadow val="0"/>
        <vertAlign val="baseline"/>
        <name val="Arial"/>
        <family val="2"/>
      </font>
      <alignment horizontal="center" vertical="bottom"/>
    </dxf>
    <dxf>
      <font>
        <strike val="0"/>
        <outline val="0"/>
        <shadow val="0"/>
        <vertAlign val="baseline"/>
        <name val="Arial"/>
        <family val="2"/>
      </font>
      <alignment horizontal="center" vertical="bottom"/>
    </dxf>
    <dxf>
      <font>
        <strike val="0"/>
        <outline val="0"/>
        <shadow val="0"/>
        <vertAlign val="baseline"/>
        <name val="Arial"/>
        <family val="2"/>
      </font>
      <alignment horizontal="center" vertical="bottom"/>
    </dxf>
    <dxf>
      <font>
        <strike val="0"/>
        <outline val="0"/>
        <shadow val="0"/>
        <vertAlign val="baseline"/>
        <name val="Arial"/>
        <family val="2"/>
      </font>
      <alignment horizontal="center" vertical="bottom"/>
    </dxf>
    <dxf>
      <font>
        <strike val="0"/>
        <outline val="0"/>
        <shadow val="0"/>
        <vertAlign val="baseline"/>
        <name val="Arial"/>
        <family val="2"/>
      </font>
      <alignment horizontal="center" vertical="bottom"/>
    </dxf>
    <dxf>
      <font>
        <strike val="0"/>
        <outline val="0"/>
        <shadow val="0"/>
        <vertAlign val="baseline"/>
        <sz val="12"/>
        <color theme="4" tint="-0.499984740745262"/>
        <name val="Arial"/>
        <family val="2"/>
      </font>
      <alignment horizontal="center" vertical="bottom"/>
      <border outline="0">
        <left/>
        <right/>
        <top style="thin">
          <color rgb="FF000000"/>
        </top>
        <bottom style="thin">
          <color rgb="FF000000"/>
        </bottom>
      </border>
    </dxf>
    <dxf>
      <font>
        <strike val="0"/>
        <condense val="0"/>
        <extend val="0"/>
        <outline val="0"/>
        <shadow val="0"/>
        <u/>
        <vertAlign val="baseline"/>
        <sz val="12"/>
        <color theme="1"/>
        <name val="Aptos Narrow"/>
        <family val="2"/>
        <scheme val="minor"/>
      </font>
      <fill>
        <patternFill patternType="solid">
          <fgColor indexed="64"/>
          <bgColor rgb="FFE3D7F1"/>
        </patternFill>
      </fill>
      <alignment horizontal="center" vertical="bottom" wrapText="1"/>
    </dxf>
    <dxf>
      <font>
        <strike val="0"/>
        <outline val="0"/>
        <shadow val="0"/>
        <vertAlign val="baseline"/>
        <sz val="12"/>
      </font>
      <alignment horizontal="center" vertical="bottom"/>
    </dxf>
    <dxf>
      <font>
        <strike val="0"/>
        <outline val="0"/>
        <shadow val="0"/>
        <vertAlign val="baseline"/>
        <sz val="12"/>
        <color theme="4" tint="-0.499984740745262"/>
        <name val="Arial"/>
        <family val="2"/>
      </font>
      <alignment horizontal="general" vertical="bottom" wrapText="1"/>
      <border>
        <left style="thin">
          <color rgb="FF000000"/>
        </left>
        <right/>
        <top style="thin">
          <color rgb="FF000000"/>
        </top>
        <bottom style="thin">
          <color rgb="FF000000"/>
        </bottom>
      </border>
    </dxf>
    <dxf>
      <font>
        <strike val="0"/>
        <outline val="0"/>
        <shadow val="0"/>
        <vertAlign val="baseline"/>
        <name val="Arial"/>
        <family val="2"/>
      </font>
      <alignment horizontal="general" vertical="bottom"/>
    </dxf>
    <dxf>
      <font>
        <strike val="0"/>
        <outline val="0"/>
        <shadow val="0"/>
        <vertAlign val="baseline"/>
        <name val="Arial"/>
        <family val="2"/>
      </font>
      <fill>
        <patternFill patternType="solid">
          <fgColor indexed="64"/>
          <bgColor theme="8" tint="-0.499984740745262"/>
        </patternFill>
      </fill>
      <alignment horizontal="general" vertical="bottom"/>
    </dxf>
    <dxf>
      <font>
        <strike val="0"/>
        <condense val="0"/>
        <extend val="0"/>
        <outline val="0"/>
        <shadow val="0"/>
        <vertAlign val="baseline"/>
        <sz val="11"/>
        <color theme="1"/>
        <name val="Verdana"/>
        <family val="2"/>
      </font>
      <numFmt numFmtId="0" formatCode="General"/>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Verdana"/>
        <family val="2"/>
      </font>
      <numFmt numFmtId="1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Verdana"/>
        <family val="2"/>
      </font>
      <numFmt numFmtId="0" formatCode="General"/>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Verdana"/>
        <family val="2"/>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Verdana"/>
        <family val="2"/>
      </font>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bgColor theme="1"/>
        </patternFill>
      </fill>
    </dxf>
    <dxf>
      <alignment vertical="center" textRotation="0" indent="0" justifyLastLine="0" shrinkToFit="0" readingOrder="0"/>
    </dxf>
    <dxf>
      <alignment horizontal="general" vertical="center" textRotation="0" wrapText="1"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fill>
        <patternFill patternType="solid">
          <fgColor indexed="64"/>
          <bgColor rgb="FFC00000"/>
        </patternFill>
      </fill>
      <alignment vertical="top"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C00000"/>
        </patternFill>
      </fill>
    </dxf>
    <dxf>
      <font>
        <b val="0"/>
        <i val="0"/>
        <strike val="0"/>
        <condense val="0"/>
        <extend val="0"/>
        <outline val="0"/>
        <shadow val="0"/>
        <u val="none"/>
        <vertAlign val="baseline"/>
        <sz val="11"/>
        <color theme="1"/>
        <name val="Verdana"/>
        <family val="2"/>
        <scheme val="none"/>
      </font>
      <numFmt numFmtId="0" formatCode="General"/>
    </dxf>
    <dxf>
      <font>
        <b val="0"/>
        <i val="0"/>
        <strike val="0"/>
        <condense val="0"/>
        <extend val="0"/>
        <outline val="0"/>
        <shadow val="0"/>
        <u val="none"/>
        <vertAlign val="baseline"/>
        <sz val="11"/>
        <color theme="1"/>
        <name val="Verdana"/>
        <family val="2"/>
        <scheme val="none"/>
      </font>
      <numFmt numFmtId="0" formatCode="General"/>
    </dxf>
    <dxf>
      <font>
        <b val="0"/>
        <i val="0"/>
        <strike val="0"/>
        <condense val="0"/>
        <extend val="0"/>
        <outline val="0"/>
        <shadow val="0"/>
        <u val="none"/>
        <vertAlign val="baseline"/>
        <sz val="11"/>
        <color theme="1"/>
        <name val="Verdana"/>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1"/>
        <color theme="1"/>
        <name val="Verdana"/>
        <family val="2"/>
        <scheme val="none"/>
      </font>
      <numFmt numFmtId="0" formatCode="General"/>
      <alignment horizontal="right" vertical="bottom" textRotation="0" wrapText="0" indent="0" justifyLastLine="0" shrinkToFit="0" readingOrder="0"/>
    </dxf>
    <dxf>
      <numFmt numFmtId="0" formatCode="General"/>
      <border diagonalUp="0" diagonalDown="0">
        <left style="thin">
          <color indexed="64"/>
        </left>
        <right style="thin">
          <color indexed="64"/>
        </right>
        <top/>
        <bottom/>
        <vertical/>
        <horizontal/>
      </border>
    </dxf>
    <dxf>
      <fill>
        <patternFill patternType="solid">
          <fgColor indexed="64"/>
          <bgColor theme="1"/>
        </patternFill>
      </fill>
    </dxf>
    <dxf>
      <numFmt numFmtId="0" formatCode="General"/>
      <fill>
        <patternFill patternType="solid">
          <fgColor indexed="64"/>
          <bgColor theme="1"/>
        </patternFill>
      </fill>
    </dxf>
    <dxf>
      <numFmt numFmtId="0" formatCode="General"/>
    </dxf>
    <dxf>
      <numFmt numFmtId="0" formatCode="General"/>
    </dxf>
    <dxf>
      <numFmt numFmtId="0" formatCode="General"/>
      <fill>
        <patternFill patternType="solid">
          <fgColor indexed="64"/>
          <bgColor theme="0"/>
        </patternFill>
      </fill>
    </dxf>
    <dxf>
      <fill>
        <patternFill patternType="solid">
          <fgColor indexed="64"/>
          <bgColor theme="1"/>
        </patternFill>
      </fill>
    </dxf>
    <dxf>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indent="0" justifyLastLine="0" shrinkToFit="0" readingOrder="0"/>
    </dxf>
    <dxf>
      <font>
        <b val="0"/>
        <i val="0"/>
        <strike val="0"/>
        <condense val="0"/>
        <extend val="0"/>
        <outline val="0"/>
        <shadow val="0"/>
        <u val="none"/>
        <vertAlign val="baseline"/>
        <sz val="11"/>
        <color theme="1"/>
        <name val="Verdana"/>
        <family val="2"/>
        <scheme val="none"/>
      </font>
      <border diagonalUp="0" diagonalDown="0" outline="0">
        <left style="thin">
          <color theme="4"/>
        </left>
        <right/>
        <top style="thin">
          <color theme="4"/>
        </top>
        <bottom/>
      </border>
    </dxf>
    <dxf>
      <font>
        <b val="0"/>
        <i val="0"/>
        <strike val="0"/>
        <condense val="0"/>
        <extend val="0"/>
        <outline val="0"/>
        <shadow val="0"/>
        <u val="none"/>
        <vertAlign val="baseline"/>
        <sz val="11"/>
        <color theme="1"/>
        <name val="Verdana"/>
        <family val="2"/>
        <scheme val="none"/>
      </font>
      <border diagonalUp="0" diagonalDown="0" outline="0">
        <left style="thin">
          <color theme="4"/>
        </left>
        <right/>
        <top style="thin">
          <color theme="4"/>
        </top>
        <bottom/>
      </border>
    </dxf>
    <dxf>
      <font>
        <b/>
        <i val="0"/>
        <strike val="0"/>
        <condense val="0"/>
        <extend val="0"/>
        <outline val="0"/>
        <shadow val="0"/>
        <u val="none"/>
        <vertAlign val="baseline"/>
        <sz val="12"/>
        <color theme="0"/>
        <name val="Verdana"/>
        <family val="2"/>
        <scheme val="none"/>
      </font>
      <fill>
        <patternFill patternType="solid">
          <fgColor indexed="64"/>
          <bgColor theme="3" tint="0.24994659260841701"/>
        </patternFill>
      </fill>
      <alignment horizontal="center" vertical="bottom" textRotation="0" wrapText="1" indent="0" justifyLastLine="0" shrinkToFit="0" readingOrder="0"/>
    </dxf>
    <dxf>
      <numFmt numFmtId="0" formatCode="General"/>
    </dxf>
    <dxf>
      <numFmt numFmtId="0" formatCode="General"/>
    </dxf>
    <dxf>
      <font>
        <b/>
        <i val="0"/>
        <strike val="0"/>
        <condense val="0"/>
        <extend val="0"/>
        <outline val="0"/>
        <shadow val="0"/>
        <u val="none"/>
        <vertAlign val="baseline"/>
        <sz val="12"/>
        <color theme="1" tint="4.9989318521683403E-2"/>
        <name val="Verdana"/>
        <family val="2"/>
        <scheme val="none"/>
      </font>
      <fill>
        <patternFill patternType="solid">
          <fgColor indexed="64"/>
          <bgColor theme="0"/>
        </patternFill>
      </fill>
      <alignment horizontal="center" vertical="bottom" textRotation="0" wrapText="1" indent="0" justifyLastLine="0" shrinkToFit="0" readingOrder="0"/>
    </dxf>
    <dxf>
      <numFmt numFmtId="0" formatCode="General"/>
    </dxf>
    <dxf>
      <numFmt numFmtId="0" formatCode="General"/>
    </dxf>
    <dxf>
      <font>
        <b/>
        <i val="0"/>
        <strike val="0"/>
        <condense val="0"/>
        <extend val="0"/>
        <outline val="0"/>
        <shadow val="0"/>
        <u val="none"/>
        <vertAlign val="baseline"/>
        <sz val="12"/>
        <color theme="1" tint="4.9989318521683403E-2"/>
        <name val="Verdana"/>
        <family val="2"/>
        <scheme val="none"/>
      </font>
      <fill>
        <patternFill patternType="solid">
          <fgColor indexed="64"/>
          <bgColor theme="0"/>
        </patternFill>
      </fill>
      <alignment horizontal="right" vertical="bottom" textRotation="0" wrapText="1" indent="0" justifyLastLine="0" shrinkToFit="0" readingOrder="0"/>
    </dxf>
    <dxf>
      <numFmt numFmtId="0" formatCode="General"/>
    </dxf>
    <dxf>
      <numFmt numFmtId="0" formatCode="General"/>
    </dxf>
    <dxf>
      <font>
        <b/>
        <i val="0"/>
        <strike val="0"/>
        <condense val="0"/>
        <extend val="0"/>
        <outline val="0"/>
        <shadow val="0"/>
        <u val="none"/>
        <vertAlign val="baseline"/>
        <sz val="12"/>
        <color theme="0"/>
        <name val="Verdana"/>
        <family val="2"/>
        <scheme val="none"/>
      </font>
      <fill>
        <patternFill patternType="solid">
          <fgColor indexed="64"/>
          <bgColor theme="1"/>
        </patternFill>
      </fill>
      <alignment horizontal="center" vertical="bottom" textRotation="0" wrapText="0" indent="0" justifyLastLine="0" shrinkToFit="0" readingOrder="0"/>
      <border diagonalUp="0" diagonalDown="0" outline="0">
        <left style="medium">
          <color indexed="64"/>
        </left>
        <right style="medium">
          <color indexed="64"/>
        </right>
        <top style="medium">
          <color indexed="64"/>
        </top>
        <bottom/>
      </border>
    </dxf>
    <dxf>
      <numFmt numFmtId="0" formatCode="General"/>
    </dxf>
    <dxf>
      <numFmt numFmtId="0" formatCode="General"/>
    </dxf>
    <dxf>
      <font>
        <b/>
        <i val="0"/>
        <strike val="0"/>
        <condense val="0"/>
        <extend val="0"/>
        <outline val="0"/>
        <shadow val="0"/>
        <u val="none"/>
        <vertAlign val="baseline"/>
        <sz val="12"/>
        <color theme="0"/>
        <name val="Verdana"/>
        <family val="2"/>
        <scheme val="none"/>
      </font>
      <fill>
        <patternFill patternType="solid">
          <fgColor indexed="64"/>
          <bgColor theme="1"/>
        </patternFill>
      </fill>
      <alignment horizontal="center" vertical="bottom" textRotation="0" wrapText="1" indent="0" justifyLastLine="0" shrinkToFit="0" readingOrder="0"/>
      <border diagonalUp="0" diagonalDown="0" outline="0">
        <left/>
        <right/>
        <top style="thin">
          <color theme="4"/>
        </top>
        <bottom/>
      </border>
    </dxf>
    <dxf>
      <numFmt numFmtId="0" formatCode="General"/>
    </dxf>
    <dxf>
      <font>
        <b/>
        <i val="0"/>
        <strike val="0"/>
        <condense val="0"/>
        <extend val="0"/>
        <outline val="0"/>
        <shadow val="0"/>
        <u val="none"/>
        <vertAlign val="baseline"/>
        <sz val="12"/>
        <color theme="0"/>
        <name val="Verdana"/>
        <family val="2"/>
        <scheme val="none"/>
      </font>
      <fill>
        <patternFill patternType="solid">
          <fgColor indexed="64"/>
          <bgColor theme="1"/>
        </patternFill>
      </fill>
      <alignment horizontal="center" vertical="bottom" textRotation="0" wrapText="1" indent="0" justifyLastLine="0" shrinkToFit="0" readingOrder="0"/>
      <border diagonalUp="0" diagonalDown="0" outline="0">
        <left/>
        <right/>
        <top style="thin">
          <color theme="4"/>
        </top>
        <bottom/>
      </border>
    </dxf>
    <dxf>
      <numFmt numFmtId="0" formatCode="General"/>
    </dxf>
    <dxf>
      <numFmt numFmtId="0" formatCode="General"/>
    </dxf>
    <dxf>
      <font>
        <b/>
        <i val="0"/>
        <strike val="0"/>
        <condense val="0"/>
        <extend val="0"/>
        <outline val="0"/>
        <shadow val="0"/>
        <u val="none"/>
        <vertAlign val="baseline"/>
        <sz val="12"/>
        <color theme="0"/>
        <name val="Verdana"/>
        <family val="2"/>
        <scheme val="none"/>
      </font>
      <fill>
        <patternFill patternType="solid">
          <fgColor indexed="64"/>
          <bgColor theme="1"/>
        </patternFill>
      </fill>
      <alignment horizontal="center" vertical="bottom" textRotation="0" wrapText="1" indent="0" justifyLastLine="0" shrinkToFit="0" readingOrder="0"/>
      <border diagonalUp="0" diagonalDown="0" outline="0">
        <left/>
        <right/>
        <top style="thin">
          <color theme="4"/>
        </top>
        <bottom/>
      </border>
    </dxf>
    <dxf>
      <numFmt numFmtId="0" formatCode="General"/>
      <alignment horizontal="center" vertical="bottom" textRotation="0" wrapText="0" indent="0" justifyLastLine="0" shrinkToFit="0" readingOrder="0"/>
    </dxf>
    <dxf>
      <numFmt numFmtId="0" formatCode="General"/>
      <alignment horizontal="center" vertical="bottom" textRotation="0" indent="0" justifyLastLine="0" shrinkToFit="0" readingOrder="0"/>
    </dxf>
    <dxf>
      <font>
        <b/>
        <i val="0"/>
        <strike val="0"/>
        <condense val="0"/>
        <extend val="0"/>
        <outline val="0"/>
        <shadow val="0"/>
        <u val="none"/>
        <vertAlign val="baseline"/>
        <sz val="12"/>
        <color theme="0"/>
        <name val="Verdana"/>
        <family val="2"/>
        <scheme val="none"/>
      </font>
      <fill>
        <patternFill patternType="solid">
          <fgColor indexed="64"/>
          <bgColor theme="1"/>
        </patternFill>
      </fill>
      <alignment horizontal="center" vertical="bottom" textRotation="0" wrapText="1" indent="0" justifyLastLine="0" shrinkToFit="0" readingOrder="0"/>
      <border diagonalUp="0" diagonalDown="0" outline="0">
        <left/>
        <right/>
        <top style="thin">
          <color theme="4"/>
        </top>
        <bottom/>
      </border>
    </dxf>
    <dxf>
      <numFmt numFmtId="0" formatCode="General"/>
      <alignment horizontal="center" vertical="bottom" textRotation="0" wrapText="0" indent="0" justifyLastLine="0" shrinkToFit="0" readingOrder="0"/>
    </dxf>
    <dxf>
      <numFmt numFmtId="0" formatCode="General"/>
      <alignment horizontal="center" vertical="bottom" textRotation="0" indent="0" justifyLastLine="0" shrinkToFit="0" readingOrder="0"/>
    </dxf>
    <dxf>
      <font>
        <b/>
        <i val="0"/>
        <strike val="0"/>
        <condense val="0"/>
        <extend val="0"/>
        <outline val="0"/>
        <shadow val="0"/>
        <u val="none"/>
        <vertAlign val="baseline"/>
        <sz val="12"/>
        <color theme="0"/>
        <name val="Verdana"/>
        <family val="2"/>
        <scheme val="none"/>
      </font>
      <fill>
        <patternFill patternType="solid">
          <fgColor indexed="64"/>
          <bgColor theme="1"/>
        </patternFill>
      </fill>
      <alignment horizontal="center" vertical="bottom" textRotation="0" wrapText="1" indent="0" justifyLastLine="0" shrinkToFit="0" readingOrder="0"/>
      <border diagonalUp="0" diagonalDown="0" outline="0">
        <left/>
        <right/>
        <top style="thin">
          <color theme="4"/>
        </top>
        <bottom/>
      </border>
    </dxf>
    <dxf>
      <numFmt numFmtId="0" formatCode="General"/>
      <alignment horizontal="center" vertical="bottom" textRotation="0" wrapText="0" indent="0" justifyLastLine="0" shrinkToFit="0" readingOrder="0"/>
    </dxf>
    <dxf>
      <numFmt numFmtId="0" formatCode="General"/>
      <alignment horizontal="center" vertical="bottom" textRotation="0" indent="0" justifyLastLine="0" shrinkToFit="0" readingOrder="0"/>
    </dxf>
    <dxf>
      <font>
        <b/>
        <i val="0"/>
        <strike val="0"/>
        <condense val="0"/>
        <extend val="0"/>
        <outline val="0"/>
        <shadow val="0"/>
        <u val="none"/>
        <vertAlign val="baseline"/>
        <sz val="12"/>
        <color theme="0"/>
        <name val="Verdana"/>
        <family val="2"/>
        <scheme val="none"/>
      </font>
      <fill>
        <patternFill patternType="solid">
          <fgColor indexed="64"/>
          <bgColor theme="1"/>
        </patternFill>
      </fill>
      <alignment horizontal="center" vertical="bottom"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Verdana"/>
        <family val="2"/>
        <scheme val="none"/>
      </font>
      <border diagonalUp="0" diagonalDown="0" outline="0">
        <left style="thin">
          <color theme="4"/>
        </left>
        <right/>
        <top style="thin">
          <color theme="4"/>
        </top>
        <bottom/>
      </border>
    </dxf>
    <dxf>
      <font>
        <b val="0"/>
        <i val="0"/>
        <strike val="0"/>
        <condense val="0"/>
        <extend val="0"/>
        <outline val="0"/>
        <shadow val="0"/>
        <u val="none"/>
        <vertAlign val="baseline"/>
        <sz val="11"/>
        <color theme="1"/>
        <name val="Verdana"/>
        <family val="2"/>
        <scheme val="none"/>
      </font>
      <border diagonalUp="0" diagonalDown="0" outline="0">
        <left style="thin">
          <color theme="4"/>
        </left>
        <right/>
        <top style="thin">
          <color theme="4"/>
        </top>
        <bottom/>
      </border>
    </dxf>
    <dxf>
      <font>
        <b val="0"/>
        <i val="0"/>
        <strike val="0"/>
        <condense val="0"/>
        <extend val="0"/>
        <outline val="0"/>
        <shadow val="0"/>
        <u val="none"/>
        <vertAlign val="baseline"/>
        <sz val="12"/>
        <color theme="0"/>
        <name val="Arial"/>
        <family val="2"/>
        <scheme val="none"/>
      </font>
      <fill>
        <patternFill patternType="solid">
          <fgColor indexed="64"/>
          <bgColor theme="1"/>
        </patternFill>
      </fill>
    </dxf>
    <dxf>
      <font>
        <b/>
        <i val="0"/>
        <strike val="0"/>
        <condense val="0"/>
        <extend val="0"/>
        <outline val="0"/>
        <shadow val="0"/>
        <u val="none"/>
        <vertAlign val="baseline"/>
        <sz val="12"/>
        <color theme="0"/>
        <name val="Verdana"/>
        <family val="2"/>
        <scheme val="none"/>
      </font>
      <fill>
        <patternFill patternType="solid">
          <fgColor indexed="64"/>
          <bgColor theme="1"/>
        </patternFill>
      </fill>
      <alignment horizontal="center" vertical="bottom" textRotation="0" wrapText="1" indent="0" justifyLastLine="0" shrinkToFit="0" readingOrder="0"/>
    </dxf>
    <dxf>
      <font>
        <strike val="0"/>
        <outline val="0"/>
        <shadow val="0"/>
        <u val="none"/>
        <vertAlign val="baseline"/>
        <sz val="11"/>
        <color theme="1"/>
        <name val="Arial"/>
        <family val="2"/>
        <scheme val="none"/>
      </font>
      <fill>
        <patternFill>
          <fgColor indexed="64"/>
          <bgColor auto="1"/>
        </patternFill>
      </fill>
    </dxf>
    <dxf>
      <font>
        <strike val="0"/>
        <outline val="0"/>
        <shadow val="0"/>
        <u val="none"/>
        <vertAlign val="baseline"/>
        <sz val="11"/>
        <color theme="1"/>
        <name val="Arial"/>
        <family val="2"/>
        <scheme val="none"/>
      </font>
      <fill>
        <patternFill>
          <fgColor indexed="64"/>
          <bgColor auto="1"/>
        </patternFill>
      </fill>
    </dxf>
    <dxf>
      <font>
        <strike val="0"/>
        <outline val="0"/>
        <shadow val="0"/>
        <u val="none"/>
        <vertAlign val="baseline"/>
        <sz val="12"/>
        <color theme="1"/>
        <name val="Arial"/>
        <family val="2"/>
        <scheme val="none"/>
      </font>
      <fill>
        <patternFill>
          <fgColor indexed="64"/>
          <bgColor auto="1"/>
        </patternFill>
      </fill>
      <alignment horizontal="center" textRotation="0" wrapText="1" indent="0" justifyLastLine="0" shrinkToFit="0" readingOrder="0"/>
    </dxf>
    <dxf>
      <font>
        <strike val="0"/>
        <condense val="0"/>
        <extend val="0"/>
        <outline val="0"/>
        <shadow val="0"/>
        <u val="none"/>
        <vertAlign val="baseline"/>
        <sz val="11"/>
        <color theme="1"/>
        <name val="Arial"/>
        <family val="2"/>
        <scheme val="none"/>
      </font>
      <fill>
        <patternFill>
          <fgColor indexed="64"/>
          <bgColor auto="1"/>
        </patternFill>
      </fill>
      <alignment horizontal="left" vertical="center" wrapText="1" indent="1"/>
      <border outline="0">
        <left/>
        <right style="thin">
          <color indexed="64"/>
        </right>
        <top style="thin">
          <color indexed="64"/>
        </top>
        <bottom style="thin">
          <color indexed="64"/>
        </bottom>
      </border>
    </dxf>
    <dxf>
      <border outline="0">
        <left style="thin">
          <color indexed="64"/>
        </left>
        <top style="thin">
          <color indexed="64"/>
        </top>
        <bottom style="thin">
          <color indexed="64"/>
        </bottom>
      </border>
    </dxf>
    <dxf>
      <font>
        <strike val="0"/>
        <outline val="0"/>
        <shadow val="0"/>
        <u val="none"/>
        <vertAlign val="baseline"/>
        <sz val="11"/>
        <color theme="1"/>
        <name val="Arial"/>
        <family val="2"/>
        <scheme val="none"/>
      </font>
      <fill>
        <patternFill>
          <fgColor indexed="64"/>
          <bgColor auto="1"/>
        </patternFill>
      </fill>
    </dxf>
    <dxf>
      <border outline="0">
        <bottom style="thin">
          <color indexed="64"/>
        </bottom>
      </border>
    </dxf>
    <dxf>
      <font>
        <b/>
        <strike val="0"/>
        <outline val="0"/>
        <shadow val="0"/>
        <vertAlign val="baseline"/>
        <sz val="11"/>
        <color theme="0"/>
        <name val="Verdana"/>
        <family val="2"/>
      </font>
      <fill>
        <patternFill patternType="solid">
          <fgColor indexed="64"/>
          <bgColor rgb="FFC00000"/>
        </patternFill>
      </fill>
      <alignment vertical="center"/>
    </dxf>
    <dxf>
      <font>
        <i/>
        <strike val="0"/>
        <condense val="0"/>
        <extend val="0"/>
        <outline val="0"/>
        <shadow val="0"/>
        <u val="none"/>
        <vertAlign val="baseline"/>
        <sz val="11"/>
        <color theme="1"/>
        <name val="Arial"/>
        <family val="2"/>
        <scheme val="none"/>
      </font>
      <numFmt numFmtId="1" formatCode="0"/>
      <alignment horizontal="left" vertical="center" wrapText="1" relativeIndent="1"/>
      <border outline="0">
        <left/>
        <right style="thin">
          <color indexed="64"/>
        </right>
        <top style="thin">
          <color indexed="64"/>
        </top>
        <bottom style="thin">
          <color indexed="64"/>
        </bottom>
      </border>
    </dxf>
    <dxf>
      <font>
        <strike val="0"/>
        <condense val="0"/>
        <extend val="0"/>
        <outline val="0"/>
        <shadow val="0"/>
        <u val="none"/>
        <vertAlign val="baseline"/>
        <sz val="12"/>
        <color theme="1"/>
        <name val="Arial"/>
        <family val="2"/>
        <scheme val="none"/>
      </font>
      <alignment horizontal="general" vertical="center"/>
      <border outline="0">
        <left style="thin">
          <color indexed="64"/>
        </left>
        <right/>
        <top style="thin">
          <color indexed="64"/>
        </top>
        <bottom style="thin">
          <color indexed="64"/>
        </bottom>
      </border>
    </dxf>
    <dxf>
      <font>
        <strike val="0"/>
        <outline val="0"/>
        <shadow val="0"/>
        <u val="none"/>
        <vertAlign val="baseline"/>
        <sz val="11"/>
        <color theme="1"/>
        <name val="Arial"/>
        <family val="2"/>
        <scheme val="none"/>
      </font>
      <alignment vertical="center"/>
    </dxf>
    <dxf>
      <font>
        <strike val="0"/>
        <outline val="0"/>
        <shadow val="0"/>
        <vertAlign val="baseline"/>
        <sz val="12"/>
        <color theme="1"/>
        <name val="Verdana"/>
        <family val="2"/>
      </font>
      <fill>
        <patternFill patternType="solid">
          <fgColor indexed="64"/>
          <bgColor rgb="FFC00000"/>
        </patternFill>
      </fill>
      <alignment horizontal="general" vertical="center"/>
    </dxf>
    <dxf>
      <font>
        <strike val="0"/>
        <condense val="0"/>
        <extend val="0"/>
        <outline val="0"/>
        <shadow val="0"/>
        <vertAlign val="baseline"/>
        <sz val="12"/>
        <color theme="1"/>
        <name val="Arial"/>
        <family val="2"/>
      </font>
      <alignment horizontal="center" vertical="center" wrapText="1"/>
      <border outline="0">
        <left/>
        <right/>
        <top/>
        <bottom style="thin">
          <color indexed="64"/>
        </bottom>
      </border>
    </dxf>
    <dxf>
      <font>
        <strike val="0"/>
        <condense val="0"/>
        <extend val="0"/>
        <outline val="0"/>
        <shadow val="0"/>
        <vertAlign val="baseline"/>
        <sz val="12"/>
        <color theme="1"/>
        <name val="Arial"/>
        <family val="2"/>
      </font>
      <fill>
        <patternFill>
          <fgColor indexed="64"/>
          <bgColor auto="1"/>
        </patternFill>
      </fill>
      <alignment horizontal="center" vertical="center" wrapText="1"/>
      <border outline="0">
        <left/>
        <right/>
        <top/>
        <bottom style="thin">
          <color indexed="64"/>
        </bottom>
      </border>
    </dxf>
    <dxf>
      <alignment horizontal="center" vertical="center" wrapText="1"/>
      <border outline="0">
        <left/>
        <right/>
        <top/>
        <bottom style="thin">
          <color indexed="64"/>
        </bottom>
      </border>
    </dxf>
    <dxf>
      <font>
        <strike val="0"/>
        <condense val="0"/>
        <extend val="0"/>
        <outline val="0"/>
        <shadow val="0"/>
        <vertAlign val="baseline"/>
        <sz val="12"/>
        <color theme="1"/>
        <name val="Arial"/>
        <family val="2"/>
      </font>
      <alignment horizontal="left" vertical="center" wrapText="1"/>
      <border outline="0">
        <left/>
        <right/>
        <top style="thin">
          <color theme="4"/>
        </top>
        <bottom/>
      </border>
    </dxf>
    <dxf>
      <font>
        <strike val="0"/>
        <condense val="0"/>
        <extend val="0"/>
        <outline val="0"/>
        <shadow val="0"/>
        <vertAlign val="baseline"/>
        <sz val="12"/>
        <color theme="1"/>
        <name val="Arial"/>
        <family val="2"/>
      </font>
      <alignment horizontal="center" vertical="center" wrapText="1"/>
      <border outline="0">
        <left/>
        <right/>
        <top style="thin">
          <color theme="4"/>
        </top>
        <bottom/>
      </border>
    </dxf>
    <dxf>
      <font>
        <strike val="0"/>
        <condense val="0"/>
        <extend val="0"/>
        <outline val="0"/>
        <shadow val="0"/>
        <vertAlign val="baseline"/>
        <sz val="12"/>
        <color theme="1"/>
        <name val="Arial"/>
        <family val="2"/>
      </font>
      <alignment horizontal="center" vertical="bottom"/>
      <border outline="0">
        <left/>
        <right/>
        <top style="thin">
          <color theme="4"/>
        </top>
        <bottom/>
      </border>
    </dxf>
    <dxf>
      <font>
        <strike val="0"/>
        <condense val="0"/>
        <extend val="0"/>
        <outline val="0"/>
        <shadow val="0"/>
        <vertAlign val="baseline"/>
        <sz val="12"/>
        <color theme="1"/>
        <name val="Arial"/>
        <family val="2"/>
      </font>
      <alignment horizontal="general" vertical="center"/>
      <border outline="0">
        <left/>
        <right/>
        <top style="thin">
          <color theme="4"/>
        </top>
        <bottom/>
      </border>
    </dxf>
    <dxf>
      <font>
        <strike val="0"/>
        <condense val="0"/>
        <extend val="0"/>
        <outline val="0"/>
        <shadow val="0"/>
        <u/>
        <vertAlign val="baseline"/>
        <sz val="12"/>
        <color theme="4" tint="-0.499984740745262"/>
        <name val="Arial"/>
        <family val="2"/>
      </font>
      <alignment horizontal="left" vertical="center" wrapText="1"/>
      <border>
        <left style="thin">
          <color rgb="FF000000"/>
        </left>
        <right/>
        <top style="thin">
          <color rgb="FF000000"/>
        </top>
        <bottom/>
        <vertical/>
        <horizontal/>
      </border>
    </dxf>
    <dxf>
      <border outline="0">
        <top style="thin">
          <color theme="4"/>
        </top>
      </border>
    </dxf>
    <dxf>
      <font>
        <strike val="0"/>
        <condense val="0"/>
        <extend val="0"/>
        <outline val="0"/>
        <shadow val="0"/>
        <vertAlign val="baseline"/>
        <sz val="12"/>
        <color theme="1"/>
        <name val="Arial"/>
        <family val="2"/>
      </font>
      <alignment horizontal="general" vertical="center" wrapText="1"/>
    </dxf>
    <dxf>
      <font>
        <b/>
        <strike val="0"/>
        <condense val="0"/>
        <extend val="0"/>
        <outline val="0"/>
        <shadow val="0"/>
        <vertAlign val="baseline"/>
        <sz val="14"/>
        <color theme="0"/>
        <name val="Arial"/>
        <family val="2"/>
      </font>
      <fill>
        <patternFill patternType="solid">
          <fgColor theme="4"/>
          <bgColor rgb="FF0070C0"/>
        </patternFill>
      </fill>
      <alignment horizontal="general"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106C03-CCB2-FC4F-8266-51DA857A36CB}" name="Resource" displayName="Resource" ref="A2:B6" totalsRowShown="0" headerRowDxfId="96" dataDxfId="95">
  <autoFilter ref="A2:B6" xr:uid="{AE106C03-CCB2-FC4F-8266-51DA857A36CB}">
    <filterColumn colId="0" hiddenButton="1"/>
    <filterColumn colId="1" hiddenButton="1"/>
  </autoFilter>
  <tableColumns count="2">
    <tableColumn id="1" xr3:uid="{B648918D-6168-9643-880F-299E60964E6D}" name="Resource" dataDxfId="94"/>
    <tableColumn id="2" xr3:uid="{5922D7B1-7FB8-7E4A-B622-9026CFB26C0E}" name="Details" dataDxfId="93">
      <calculatedColumnFormula>+H16</calculatedColumnFormula>
    </tableColumn>
  </tableColumns>
  <tableStyleInfo name="TableStyleLight9"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86CFEF-D99F-104C-AA0D-24E9C073753E}" name="Details" displayName="Details" ref="A9:D23" totalsRowShown="0" headerRowDxfId="92" dataDxfId="90" headerRowBorderDxfId="91" tableBorderDxfId="89">
  <autoFilter ref="A9:D23" xr:uid="{4086CFEF-D99F-104C-AA0D-24E9C073753E}">
    <filterColumn colId="0" hiddenButton="1"/>
    <filterColumn colId="1" hiddenButton="1"/>
    <filterColumn colId="2" hiddenButton="1"/>
    <filterColumn colId="3" hiddenButton="1"/>
  </autoFilter>
  <tableColumns count="4">
    <tableColumn id="1" xr3:uid="{580009D2-A11B-EE4E-860D-A983E3EF0182}" name="Details" dataDxfId="88"/>
    <tableColumn id="2" xr3:uid="{AAC18406-8466-0845-B7F5-1C855AA6F73E}" name="Response" dataDxfId="87"/>
    <tableColumn id="3" xr3:uid="{BFF821A1-BC8B-BD4F-B653-D0650E276233}" name="Notes" dataDxfId="86"/>
    <tableColumn id="4" xr3:uid="{01E063F6-D76E-8B4B-8B74-40953F6BC882}" name="Comments" dataDxfId="85"/>
  </tableColumns>
  <tableStyleInfo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F64061-8661-1F40-8E23-B59139A57904}" name="Table6" displayName="Table6" ref="A27:J30" headerRowCount="0" headerRowDxfId="84">
  <tableColumns count="10">
    <tableColumn id="1" xr3:uid="{D6BBD0C6-800B-D248-8C40-A535E59764D5}" name="Impact Category WCAG 2.2" headerRowDxfId="83" dataDxfId="82" totalsRowDxfId="81"/>
    <tableColumn id="2" xr3:uid="{F8F0962C-3B8D-C746-9746-53D8874462C2}" name="2.2 Not Supported/ Not Evaluated" headerRowDxfId="80" dataDxfId="79" totalsRowDxfId="78">
      <calculatedColumnFormula>COUNTIFS(ACR!$B$2:$B$57,"Standard",ACR!$C$2:$C$57,"Does not support",ACR!$H$2:$H$57,1)</calculatedColumnFormula>
    </tableColumn>
    <tableColumn id="3" xr3:uid="{ADBC3B2F-61EA-0E4B-BC6E-5E38AB0BD593}" name="2.2 Partially Supports" headerRowDxfId="77" dataDxfId="76" totalsRowDxfId="75">
      <calculatedColumnFormula>COUNTIFS(ACR!$B$2:$B$57,"Standard",ACR!$C$2:$C$57,"Partially supports",ACR!$H$2:$H$57,1)</calculatedColumnFormula>
    </tableColumn>
    <tableColumn id="4" xr3:uid="{F5913FF8-42D0-8247-9E8C-AB74FDDFA11F}" name="2.2 Supports" headerRowDxfId="74" dataDxfId="73" totalsRowDxfId="72">
      <calculatedColumnFormula>COUNTIFS(ACR!$B$2:$B$57,"Standard",ACR!$C$2:$C$57,"Supports",ACR!$H$2:$H$57,1)</calculatedColumnFormula>
    </tableColumn>
    <tableColumn id="5" xr3:uid="{FA15B9A5-D841-304C-81BE-07BAE41F60E5}" name="2.2 Total Success Criteria" totalsRowFunction="custom" headerRowDxfId="71" dataDxfId="70" totalsRowDxfId="69">
      <calculatedColumnFormula>+B24+C24+D24+B25+C25+D25+B26+C26+D26</calculatedColumnFormula>
      <totalsRowFormula>+E30</totalsRowFormula>
    </tableColumn>
    <tableColumn id="6" xr3:uid="{C50175D2-B3D8-0B40-9D56-4C427433693C}" name="2.2 Score" headerRowDxfId="68" dataDxfId="67">
      <calculatedColumnFormula>(B24*$B$41)+(B25*$B$42)+(B26*$B$43)+(C24*$C$41)+(C25*$C$42)+(C26*$C$43)+(D24*$D$41)+(D25*$D$42)+(D26*$D$43)</calculatedColumnFormula>
    </tableColumn>
    <tableColumn id="7" xr3:uid="{DEAB00E7-1F81-C946-B3D3-43AA63194FE8}" name="2.2 Perfect Score" headerRowDxfId="66" dataDxfId="65" totalsRowDxfId="64">
      <calculatedColumnFormula>56*100</calculatedColumnFormula>
    </tableColumn>
    <tableColumn id="8" xr3:uid="{49CC7786-D211-4E42-B316-F8BD9C78E696}" name="2.2 Grade" headerRowDxfId="63" dataDxfId="62" totalsRowDxfId="61">
      <calculatedColumnFormula>IF(G27=0,"N/A",IF(F27/G27&gt;=0.95,"A",IF(AND(F27/G27&gt;=0.85,B16=0,B18="No"),"B",IF(AND(F27/G27&lt;=0.95,AND(B16&lt;=50,B17&lt;=50),B18="No",B14&lt;=25000),"C",IF(B14&lt;25000,"D","F")))))</calculatedColumnFormula>
    </tableColumn>
    <tableColumn id="9" xr3:uid="{195B30CB-E214-D242-AA57-80A938BE8495}" name="2.2 Grade Range" headerRowDxfId="60" dataDxfId="59" totalsRowDxfId="58"/>
    <tableColumn id="10" xr3:uid="{40B5114C-3769-7540-98B4-718B2AAFF740}" name="Minimum score for 2.2" headerRowDxfId="57" dataDxfId="56" totalsRowDxfId="55"/>
  </tableColumns>
  <tableStyleInfo name="TableStyleLight9"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0C40117-BD5A-E843-9698-1963ECAEA9ED}" name="Table68" displayName="Table68" ref="A33:J37" totalsRowShown="0" headerRowDxfId="54">
  <autoFilter ref="A33:J37" xr:uid="{E0C40117-BD5A-E843-9698-1963ECAEA9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391BDA-5907-3B45-9455-09C1E161400B}" name="Impact Category WCAG 2.1" dataDxfId="53" totalsRowDxfId="52"/>
    <tableColumn id="2" xr3:uid="{F119A17F-8A9F-8341-91FB-072906807243}" name="2.1 Not Supported/ Not Evaluated" dataDxfId="51" totalsRowDxfId="50"/>
    <tableColumn id="3" xr3:uid="{44A86EE6-E2F7-B544-9A40-575A8A998037}" name="2.1 Partially Supports" dataDxfId="49" totalsRowDxfId="48"/>
    <tableColumn id="4" xr3:uid="{479F8D8B-C890-7F49-80ED-0E001FAAA894}" name="2.1 Supports" dataDxfId="47" totalsRowDxfId="46"/>
    <tableColumn id="5" xr3:uid="{D4B6686D-C1E1-B64F-8FCB-E30487168349}" name="2.1 Total Success Criteria" dataDxfId="45" totalsRowDxfId="44"/>
    <tableColumn id="6" xr3:uid="{41117421-2EF3-0745-822B-FAC8BED3F83E}" name="2.1 Score" dataDxfId="43" totalsRowDxfId="42">
      <calculatedColumnFormula>(B31*$B$41)+(B32*$B$42)+(B33*$B$43)+(C31*$C$41)+(C32*$C$42)+(C33*$C$43)+(D31*$D$41)+(D32*$D$42)+(D33*$D$43)</calculatedColumnFormula>
    </tableColumn>
    <tableColumn id="7" xr3:uid="{4EBB774A-12E0-1A4A-B9F1-4CE4B4AD3FF8}" name="2.1 Perfect Score" dataDxfId="41" totalsRowDxfId="40">
      <calculatedColumnFormula>+Table68[[#This Row],[2.1 Total Success Criteria]]*100</calculatedColumnFormula>
    </tableColumn>
    <tableColumn id="8" xr3:uid="{1F78F96B-35E7-9F43-A820-61B3E3B68EDA}" name="2.1 Grade" dataDxfId="39">
      <calculatedColumnFormula>IF(G34=0,"N/A",IF(F34/G34&gt;=0.95,"A",IF(AND(F34/G34&gt;=0.85,B16=0,B18="No"),"B",IF(AND(F34/G34&lt;=0.95,AND(B16&lt;=50,B17&lt;=50),B18="No",B14&lt;=25000),"C",IF(B14&lt;25000,"D","F")))))</calculatedColumnFormula>
    </tableColumn>
    <tableColumn id="9" xr3:uid="{30FA60F0-D528-0140-9338-1675EA948C04}" name="2.1 Grade Range" dataDxfId="38" totalsRowDxfId="37"/>
    <tableColumn id="10" xr3:uid="{2CD48D04-8456-A049-B1DA-1B939C799057}" name="Minimum score for 2.1" dataDxfId="36" totalsRowDxfId="35"/>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FA37DEA-3A32-874E-B2B5-24213EBAC587}" name="Table9" displayName="Table9" ref="A40:D43" totalsRowShown="0" headerRowDxfId="34">
  <autoFilter ref="A40:D43" xr:uid="{1FA37DEA-3A32-874E-B2B5-24213EBAC587}">
    <filterColumn colId="0" hiddenButton="1"/>
    <filterColumn colId="1" hiddenButton="1"/>
    <filterColumn colId="2" hiddenButton="1"/>
    <filterColumn colId="3" hiddenButton="1"/>
  </autoFilter>
  <tableColumns count="4">
    <tableColumn id="1" xr3:uid="{5A0EB1B2-7D87-4A4E-A7B5-92D45E7AACE7}" name="Weights"/>
    <tableColumn id="2" xr3:uid="{E2146FF4-93BA-8648-9C38-BA6C92940512}" name="Not Support / Not Evaluated" dataDxfId="33"/>
    <tableColumn id="3" xr3:uid="{D92B814F-48D1-4542-AB45-D3743F73ED46}" name="Partially Supports" dataDxfId="32"/>
    <tableColumn id="4" xr3:uid="{5ED9CB1D-6762-8149-8361-8964B67411D9}" name="Supports" dataDxfId="31"/>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991E4CE-0349-0C40-A219-4736279D8041}" name="Table10" displayName="Table10" ref="A46:D51" totalsRowShown="0" headerRowDxfId="30" dataDxfId="29">
  <autoFilter ref="A46:D51" xr:uid="{B991E4CE-0349-0C40-A219-4736279D8041}">
    <filterColumn colId="0" hiddenButton="1"/>
    <filterColumn colId="1" hiddenButton="1"/>
    <filterColumn colId="2" hiddenButton="1"/>
    <filterColumn colId="3" hiddenButton="1"/>
  </autoFilter>
  <tableColumns count="4">
    <tableColumn id="1" xr3:uid="{41DA453E-6F77-564F-BB86-517931F3F351}" name="Grade" dataDxfId="28"/>
    <tableColumn id="2" xr3:uid="{95A0ED95-C1B4-294B-954A-36E230EF70F5}" name="Approval Name" dataDxfId="27"/>
    <tableColumn id="3" xr3:uid="{1197BA48-7F96-9F48-8A9C-329560E1BE06}" name="Parameters" dataDxfId="26"/>
    <tableColumn id="4" xr3:uid="{5A5975ED-0F88-1941-8C3E-1D257C63641E}" name="Term" dataDxfId="25"/>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1F17CF-FB34-7041-8638-14E0A3EF633F}" name="Impact" displayName="Impact" ref="A61:E68" totalsRowShown="0" headerRowDxfId="24" tableBorderDxfId="23">
  <autoFilter ref="A61:E68" xr:uid="{5B1F17CF-FB34-7041-8638-14E0A3EF633F}"/>
  <tableColumns count="5">
    <tableColumn id="1" xr3:uid="{84E1C4DB-CD69-D54D-834F-E25ACD9AB4AE}" name="Population Based on 2.1 only" dataDxfId="22"/>
    <tableColumn id="2" xr3:uid="{D7043F80-04CC-304A-AD27-D0CC5A512107}" name="Total Criteria" dataDxfId="21">
      <calculatedColumnFormula array="1">SUMPRODUCT(('List by Impact'!I2:I57)*(ACR!G2:G57))</calculatedColumnFormula>
    </tableColumn>
    <tableColumn id="3" xr3:uid="{CC41A666-9B2E-6B4B-BF1E-00FCA21404C7}" name="Criteria Supported" dataDxfId="20">
      <calculatedColumnFormula array="1">SUMPRODUCT(('List by Impact'!H1:H56=1)*(ACR!G1:G56=1)*(ACR!C1:C56="Supports"))</calculatedColumnFormula>
    </tableColumn>
    <tableColumn id="4" xr3:uid="{53852426-CD1F-2445-9AD4-B73CB0EE37C7}" name="% Supported" dataDxfId="19" dataCellStyle="Percent">
      <calculatedColumnFormula>+Impact[[#This Row],[Criteria Supported]]/Impact[[#This Row],[Total Criteria]]</calculatedColumnFormula>
    </tableColumn>
    <tableColumn id="5" xr3:uid="{973551BF-FBB8-BC43-8664-F77106BD5BB9}" name="Disability Supported" dataDxfId="18">
      <calculatedColumnFormula>IF(D62=1,"Supported","Not Fully Support")</calculatedColumnFormula>
    </tableColumn>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5C52D7-6147-EF45-B2B6-FE29F9249DA7}" name="ACR" displayName="ACR" ref="A1:H1048576" totalsRowShown="0" headerRowDxfId="107" dataDxfId="106" tableBorderDxfId="105">
  <autoFilter ref="A1:H1048576" xr:uid="{675C52D7-6147-EF45-B2B6-FE29F9249DA7}"/>
  <tableColumns count="8">
    <tableColumn id="1" xr3:uid="{661BF615-8831-5640-848B-33CC11130BA9}" name="VPAT Criteria 2.4 - Enter a 1 in the proper column to indicate the response from the vendor. " dataDxfId="104" dataCellStyle="Hyperlink"/>
    <tableColumn id="2" xr3:uid="{2107F94F-4D4B-914B-98B2-DA656726FF42}" name="Impact" dataDxfId="103"/>
    <tableColumn id="3" xr3:uid="{ACDE7948-200D-5146-B58E-C04654882846}" name="Response" dataDxfId="102"/>
    <tableColumn id="4" xr3:uid="{3DFC1E33-ABC4-6B4A-B9F6-D4E0305245F8}" name="Validation Method [Source: Siteimprove]" dataDxfId="101"/>
    <tableColumn id="5" xr3:uid="{BFB9011D-9D2F-C343-969A-54D911BB4791}" name="Comments or Notes" dataDxfId="100"/>
    <tableColumn id="7" xr3:uid="{CB314C7E-9F42-6247-A8E9-071B2B4B86F9}" name="WCAG 2.0" dataDxfId="99"/>
    <tableColumn id="6" xr3:uid="{83F7028C-72FD-674B-9D24-6129C5E2D813}" name="WCAG 2.1" dataDxfId="98"/>
    <tableColumn id="8" xr3:uid="{F8F5DAE9-BA19-0542-BB54-012D2A25E27F}" name="WCAG 2.2" dataDxfId="97"/>
  </tableColumns>
  <tableStyleInfo name="TableStyleLight9"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7A730D-DBF3-4242-964E-F4AC3A3736AD}" name="Criteria_By_Disability" displayName="Criteria_By_Disability" ref="A1:J59" totalsRowShown="0" headerRowDxfId="17" dataDxfId="16">
  <autoFilter ref="A1:J59" xr:uid="{C47A730D-DBF3-4242-964E-F4AC3A3736AD}"/>
  <sortState xmlns:xlrd2="http://schemas.microsoft.com/office/spreadsheetml/2017/richdata2" ref="A2:J59">
    <sortCondition ref="C2:C59"/>
  </sortState>
  <tableColumns count="10">
    <tableColumn id="1" xr3:uid="{FCD72AC8-BCAA-8D4E-BBE1-722D8F6A690A}" name="List of WCAG Criteria and which disabilities are impacted." dataDxfId="15" dataCellStyle="Hyperlink"/>
    <tableColumn id="10" xr3:uid="{A515B5E5-3A32-3648-B567-872A330BF6B6}" name="WCAG Version " dataDxfId="14"/>
    <tableColumn id="9" xr3:uid="{B85BFBC3-38A6-6C47-8F44-FB1D96CB38CD}" name="Row on Response Tab" dataDxfId="13" dataCellStyle="Hyperlink"/>
    <tableColumn id="2" xr3:uid="{4A6D7863-D89B-EB4C-9B8F-1C954DEE6E71}" name="Blindness" dataDxfId="12" dataCellStyle="Hyperlink"/>
    <tableColumn id="3" xr3:uid="{C8AA5DB1-CE78-C046-9543-C40B697E5DCF}" name="Low Vision" dataDxfId="11"/>
    <tableColumn id="4" xr3:uid="{0389D5B9-7533-B246-8524-5984BD6E9E5D}" name="Colorblindness" dataDxfId="10"/>
    <tableColumn id="5" xr3:uid="{DF43DEFE-FC95-7243-973F-3DDB4FEBFED8}" name="Hearing Loss" dataDxfId="9"/>
    <tableColumn id="6" xr3:uid="{5D4B64E1-CE91-7041-937E-2D385BCB06A9}" name="Cognitive Disorders" dataDxfId="8"/>
    <tableColumn id="7" xr3:uid="{27DF1BAB-26EA-B24A-8D40-F2F026055AB6}" name="Motor Disabilities" dataDxfId="7"/>
    <tableColumn id="8" xr3:uid="{20BEFB48-46B5-9B4B-9704-F4983C5A2251}" name="Epilepsy" dataDxfId="6"/>
  </tableColumns>
  <tableStyleInfo name="TableStyleLight9"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A40579-8E8B-144A-90D1-8095074A56CF}" name="Revisions_To_Scorecard" displayName="Revisions_To_Scorecard" ref="A1:C30" totalsRowShown="0">
  <autoFilter ref="A1:C30" xr:uid="{FAA40579-8E8B-144A-90D1-8095074A56CF}"/>
  <sortState xmlns:xlrd2="http://schemas.microsoft.com/office/spreadsheetml/2017/richdata2" ref="A2:C30">
    <sortCondition descending="1" ref="A1:A30"/>
  </sortState>
  <tableColumns count="3">
    <tableColumn id="1" xr3:uid="{550B8C2A-0C4B-8D46-82C2-77C0A305FBA5}" name="Date" dataDxfId="5"/>
    <tableColumn id="2" xr3:uid="{90F34E21-E985-BA43-A0A8-77B1E101F042}" name="Updates"/>
    <tableColumn id="3" xr3:uid="{5A494887-5606-2B4E-B3DF-91DE38C7DAF6}" name="Revision number" dataDxfId="4"/>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ccessibility@uta.edu"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3" Type="http://schemas.openxmlformats.org/officeDocument/2006/relationships/hyperlink" Target="http://www.w3.org/TR/WCAG20/" TargetMode="External"/><Relationship Id="rId18" Type="http://schemas.openxmlformats.org/officeDocument/2006/relationships/hyperlink" Target="http://www.w3.org/TR/WCAG20/" TargetMode="External"/><Relationship Id="rId26" Type="http://schemas.openxmlformats.org/officeDocument/2006/relationships/hyperlink" Target="http://www.w3.org/TR/WCAG20/" TargetMode="External"/><Relationship Id="rId39" Type="http://schemas.openxmlformats.org/officeDocument/2006/relationships/hyperlink" Target="http://www.w3.org/TR/WCAG20/" TargetMode="External"/><Relationship Id="rId21" Type="http://schemas.openxmlformats.org/officeDocument/2006/relationships/hyperlink" Target="https://www.w3.org/TR/WCAG21/" TargetMode="External"/><Relationship Id="rId34" Type="http://schemas.openxmlformats.org/officeDocument/2006/relationships/hyperlink" Target="http://www.w3.org/TR/WCAG20/" TargetMode="External"/><Relationship Id="rId42" Type="http://schemas.openxmlformats.org/officeDocument/2006/relationships/hyperlink" Target="https://www.w3.org/TR/WCAG21/" TargetMode="External"/><Relationship Id="rId47" Type="http://schemas.openxmlformats.org/officeDocument/2006/relationships/hyperlink" Target="https://www.w3.org/TR/WCAG22/" TargetMode="External"/><Relationship Id="rId50" Type="http://schemas.openxmlformats.org/officeDocument/2006/relationships/hyperlink" Target="http://www.w3.org/TR/WCAG20/" TargetMode="External"/><Relationship Id="rId55" Type="http://schemas.openxmlformats.org/officeDocument/2006/relationships/hyperlink" Target="https://www.w3.org/TR/WCAG22/" TargetMode="External"/><Relationship Id="rId7" Type="http://schemas.openxmlformats.org/officeDocument/2006/relationships/hyperlink" Target="http://www.w3.org/TR/WCAG20/" TargetMode="External"/><Relationship Id="rId2" Type="http://schemas.openxmlformats.org/officeDocument/2006/relationships/hyperlink" Target="http://www.w3.org/TR/WCAG20/" TargetMode="External"/><Relationship Id="rId16" Type="http://schemas.openxmlformats.org/officeDocument/2006/relationships/hyperlink" Target="http://www.w3.org/TR/WCAG20/" TargetMode="External"/><Relationship Id="rId29" Type="http://schemas.openxmlformats.org/officeDocument/2006/relationships/hyperlink" Target="http://www.w3.org/TR/WCAG20/" TargetMode="External"/><Relationship Id="rId11" Type="http://schemas.openxmlformats.org/officeDocument/2006/relationships/hyperlink" Target="http://www.w3.org/TR/WCAG20/" TargetMode="External"/><Relationship Id="rId24" Type="http://schemas.openxmlformats.org/officeDocument/2006/relationships/hyperlink" Target="http://www.w3.org/TR/WCAG20/" TargetMode="External"/><Relationship Id="rId32" Type="http://schemas.openxmlformats.org/officeDocument/2006/relationships/hyperlink" Target="http://www.w3.org/TR/WCAG20/" TargetMode="External"/><Relationship Id="rId37" Type="http://schemas.openxmlformats.org/officeDocument/2006/relationships/hyperlink" Target="http://www.w3.org/TR/WCAG20/" TargetMode="External"/><Relationship Id="rId40" Type="http://schemas.openxmlformats.org/officeDocument/2006/relationships/hyperlink" Target="https://www.w3.org/TR/WCAG21/" TargetMode="External"/><Relationship Id="rId45" Type="http://schemas.openxmlformats.org/officeDocument/2006/relationships/hyperlink" Target="http://www.w3.org/TR/WCAG20/" TargetMode="External"/><Relationship Id="rId53" Type="http://schemas.openxmlformats.org/officeDocument/2006/relationships/hyperlink" Target="http://www.w3.org/TR/WCAG20/" TargetMode="External"/><Relationship Id="rId5" Type="http://schemas.openxmlformats.org/officeDocument/2006/relationships/hyperlink" Target="http://www.w3.org/TR/WCAG20/" TargetMode="External"/><Relationship Id="rId19" Type="http://schemas.openxmlformats.org/officeDocument/2006/relationships/hyperlink" Target="http://www.w3.org/TR/WCAG20/" TargetMode="External"/><Relationship Id="rId4" Type="http://schemas.openxmlformats.org/officeDocument/2006/relationships/hyperlink" Target="http://www.w3.org/TR/WCAG20/" TargetMode="External"/><Relationship Id="rId9" Type="http://schemas.openxmlformats.org/officeDocument/2006/relationships/hyperlink" Target="http://www.w3.org/TR/WCAG20/" TargetMode="External"/><Relationship Id="rId14" Type="http://schemas.openxmlformats.org/officeDocument/2006/relationships/hyperlink" Target="http://www.w3.org/TR/WCAG20/" TargetMode="External"/><Relationship Id="rId22" Type="http://schemas.openxmlformats.org/officeDocument/2006/relationships/hyperlink" Target="https://www.w3.org/TR/WCAG21/"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1/" TargetMode="External"/><Relationship Id="rId43" Type="http://schemas.openxmlformats.org/officeDocument/2006/relationships/hyperlink" Target="https://www.w3.org/TR/WCAG21/" TargetMode="External"/><Relationship Id="rId48" Type="http://schemas.openxmlformats.org/officeDocument/2006/relationships/hyperlink" Target="https://www.w3.org/TR/WCAG22/" TargetMode="External"/><Relationship Id="rId56" Type="http://schemas.openxmlformats.org/officeDocument/2006/relationships/hyperlink" Target="https://www.w3.org/TR/WCAG21/" TargetMode="External"/><Relationship Id="rId8" Type="http://schemas.openxmlformats.org/officeDocument/2006/relationships/hyperlink" Target="http://www.w3.org/TR/WCAG20/" TargetMode="External"/><Relationship Id="rId51" Type="http://schemas.openxmlformats.org/officeDocument/2006/relationships/hyperlink" Target="http://www.w3.org/TR/WCAG20/" TargetMode="External"/><Relationship Id="rId3" Type="http://schemas.openxmlformats.org/officeDocument/2006/relationships/hyperlink" Target="http://www.w3.org/TR/WCAG20/" TargetMode="External"/><Relationship Id="rId12" Type="http://schemas.openxmlformats.org/officeDocument/2006/relationships/hyperlink" Target="https://www.w3.org/TR/WCAG21/" TargetMode="External"/><Relationship Id="rId17" Type="http://schemas.openxmlformats.org/officeDocument/2006/relationships/hyperlink" Target="http://www.w3.org/TR/WCAG20/" TargetMode="External"/><Relationship Id="rId25" Type="http://schemas.openxmlformats.org/officeDocument/2006/relationships/hyperlink" Target="http://www.w3.org/TR/WCAG20/" TargetMode="External"/><Relationship Id="rId33" Type="http://schemas.openxmlformats.org/officeDocument/2006/relationships/hyperlink" Target="http://www.w3.org/TR/WCAG20/" TargetMode="External"/><Relationship Id="rId38" Type="http://schemas.openxmlformats.org/officeDocument/2006/relationships/hyperlink" Target="http://www.w3.org/TR/WCAG20/" TargetMode="External"/><Relationship Id="rId46" Type="http://schemas.openxmlformats.org/officeDocument/2006/relationships/hyperlink" Target="http://www.w3.org/TR/WCAG20/" TargetMode="External"/><Relationship Id="rId20" Type="http://schemas.openxmlformats.org/officeDocument/2006/relationships/hyperlink" Target="https://www.w3.org/TR/WCAG21/" TargetMode="External"/><Relationship Id="rId41" Type="http://schemas.openxmlformats.org/officeDocument/2006/relationships/hyperlink" Target="https://www.w3.org/TR/WCAG21/" TargetMode="External"/><Relationship Id="rId54" Type="http://schemas.openxmlformats.org/officeDocument/2006/relationships/hyperlink" Target="http://www.w3.org/TR/WCAG20/" TargetMode="External"/><Relationship Id="rId1" Type="http://schemas.openxmlformats.org/officeDocument/2006/relationships/hyperlink" Target="http://www.w3.org/TR/WCAG20/" TargetMode="External"/><Relationship Id="rId6" Type="http://schemas.openxmlformats.org/officeDocument/2006/relationships/hyperlink" Target="http://www.w3.org/TR/WCAG20/" TargetMode="External"/><Relationship Id="rId15" Type="http://schemas.openxmlformats.org/officeDocument/2006/relationships/hyperlink" Target="http://www.w3.org/TR/WCAG20/" TargetMode="External"/><Relationship Id="rId23" Type="http://schemas.openxmlformats.org/officeDocument/2006/relationships/hyperlink" Target="https://www.w3.org/TR/WCAG21/" TargetMode="External"/><Relationship Id="rId28" Type="http://schemas.openxmlformats.org/officeDocument/2006/relationships/hyperlink" Target="http://www.w3.org/TR/WCAG20/" TargetMode="External"/><Relationship Id="rId36" Type="http://schemas.openxmlformats.org/officeDocument/2006/relationships/hyperlink" Target="https://www.w3.org/TR/WCAG21/" TargetMode="External"/><Relationship Id="rId49" Type="http://schemas.openxmlformats.org/officeDocument/2006/relationships/hyperlink" Target="https://www.w3.org/TR/WCAG22/" TargetMode="External"/><Relationship Id="rId57" Type="http://schemas.openxmlformats.org/officeDocument/2006/relationships/table" Target="../tables/table8.xml"/><Relationship Id="rId10" Type="http://schemas.openxmlformats.org/officeDocument/2006/relationships/hyperlink" Target="http://www.w3.org/TR/WCAG20/" TargetMode="External"/><Relationship Id="rId31" Type="http://schemas.openxmlformats.org/officeDocument/2006/relationships/hyperlink" Target="http://www.w3.org/TR/WCAG20/" TargetMode="External"/><Relationship Id="rId44" Type="http://schemas.openxmlformats.org/officeDocument/2006/relationships/hyperlink" Target="http://www.w3.org/TR/WCAG20/" TargetMode="External"/><Relationship Id="rId52" Type="http://schemas.openxmlformats.org/officeDocument/2006/relationships/hyperlink" Target="http://www.w3.org/TR/WCAG20/"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www.w3.org/TR/WCAG20/" TargetMode="External"/><Relationship Id="rId18" Type="http://schemas.openxmlformats.org/officeDocument/2006/relationships/hyperlink" Target="http://www.w3.org/TR/WCAG20/" TargetMode="External"/><Relationship Id="rId26" Type="http://schemas.openxmlformats.org/officeDocument/2006/relationships/hyperlink" Target="http://www.w3.org/TR/WCAG20/" TargetMode="External"/><Relationship Id="rId39" Type="http://schemas.openxmlformats.org/officeDocument/2006/relationships/hyperlink" Target="http://www.w3.org/TR/WCAG20/" TargetMode="External"/><Relationship Id="rId21" Type="http://schemas.openxmlformats.org/officeDocument/2006/relationships/hyperlink" Target="https://www.w3.org/TR/WCAG21/" TargetMode="External"/><Relationship Id="rId34" Type="http://schemas.openxmlformats.org/officeDocument/2006/relationships/hyperlink" Target="http://www.w3.org/TR/WCAG20/" TargetMode="External"/><Relationship Id="rId42" Type="http://schemas.openxmlformats.org/officeDocument/2006/relationships/hyperlink" Target="https://www.w3.org/TR/WCAG21/" TargetMode="External"/><Relationship Id="rId47" Type="http://schemas.openxmlformats.org/officeDocument/2006/relationships/hyperlink" Target="http://www.w3.org/TR/WCAG20/" TargetMode="External"/><Relationship Id="rId50" Type="http://schemas.openxmlformats.org/officeDocument/2006/relationships/hyperlink" Target="http://www.w3.org/TR/WCAG20/" TargetMode="External"/><Relationship Id="rId55" Type="http://schemas.openxmlformats.org/officeDocument/2006/relationships/hyperlink" Target="https://www.w3.org/TR/WCAG22/" TargetMode="External"/><Relationship Id="rId7" Type="http://schemas.openxmlformats.org/officeDocument/2006/relationships/hyperlink" Target="http://www.w3.org/TR/WCAG20/" TargetMode="External"/><Relationship Id="rId2" Type="http://schemas.openxmlformats.org/officeDocument/2006/relationships/hyperlink" Target="http://www.w3.org/TR/WCAG20/" TargetMode="External"/><Relationship Id="rId16" Type="http://schemas.openxmlformats.org/officeDocument/2006/relationships/hyperlink" Target="http://www.w3.org/TR/WCAG20/" TargetMode="External"/><Relationship Id="rId29" Type="http://schemas.openxmlformats.org/officeDocument/2006/relationships/hyperlink" Target="http://www.w3.org/TR/WCAG20/" TargetMode="External"/><Relationship Id="rId11" Type="http://schemas.openxmlformats.org/officeDocument/2006/relationships/hyperlink" Target="http://www.w3.org/TR/WCAG20/" TargetMode="External"/><Relationship Id="rId24" Type="http://schemas.openxmlformats.org/officeDocument/2006/relationships/hyperlink" Target="http://www.w3.org/TR/WCAG20/" TargetMode="External"/><Relationship Id="rId32" Type="http://schemas.openxmlformats.org/officeDocument/2006/relationships/hyperlink" Target="http://www.w3.org/TR/WCAG20/" TargetMode="External"/><Relationship Id="rId37" Type="http://schemas.openxmlformats.org/officeDocument/2006/relationships/hyperlink" Target="http://www.w3.org/TR/WCAG20/" TargetMode="External"/><Relationship Id="rId40" Type="http://schemas.openxmlformats.org/officeDocument/2006/relationships/hyperlink" Target="http://www.w3.org/TR/WCAG20/" TargetMode="External"/><Relationship Id="rId45" Type="http://schemas.openxmlformats.org/officeDocument/2006/relationships/hyperlink" Target="http://www.w3.org/TR/WCAG20/" TargetMode="External"/><Relationship Id="rId53" Type="http://schemas.openxmlformats.org/officeDocument/2006/relationships/hyperlink" Target="http://www.w3.org/TR/WCAG20/" TargetMode="External"/><Relationship Id="rId5" Type="http://schemas.openxmlformats.org/officeDocument/2006/relationships/hyperlink" Target="http://www.w3.org/TR/WCAG20/" TargetMode="External"/><Relationship Id="rId19" Type="http://schemas.openxmlformats.org/officeDocument/2006/relationships/hyperlink" Target="http://www.w3.org/TR/WCAG20/" TargetMode="External"/><Relationship Id="rId4" Type="http://schemas.openxmlformats.org/officeDocument/2006/relationships/hyperlink" Target="http://www.w3.org/TR/WCAG20/" TargetMode="External"/><Relationship Id="rId9" Type="http://schemas.openxmlformats.org/officeDocument/2006/relationships/hyperlink" Target="http://www.w3.org/TR/WCAG20/" TargetMode="External"/><Relationship Id="rId14" Type="http://schemas.openxmlformats.org/officeDocument/2006/relationships/hyperlink" Target="http://www.w3.org/TR/WCAG20/" TargetMode="External"/><Relationship Id="rId22" Type="http://schemas.openxmlformats.org/officeDocument/2006/relationships/hyperlink" Target="https://www.w3.org/TR/WCAG21/"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1/" TargetMode="External"/><Relationship Id="rId43" Type="http://schemas.openxmlformats.org/officeDocument/2006/relationships/hyperlink" Target="https://www.w3.org/TR/WCAG21/" TargetMode="External"/><Relationship Id="rId48" Type="http://schemas.openxmlformats.org/officeDocument/2006/relationships/hyperlink" Target="https://www.w3.org/TR/WCAG22/" TargetMode="External"/><Relationship Id="rId56" Type="http://schemas.openxmlformats.org/officeDocument/2006/relationships/hyperlink" Target="https://www.w3.org/TR/WCAG21/" TargetMode="External"/><Relationship Id="rId8" Type="http://schemas.openxmlformats.org/officeDocument/2006/relationships/hyperlink" Target="http://www.w3.org/TR/WCAG20/" TargetMode="External"/><Relationship Id="rId51" Type="http://schemas.openxmlformats.org/officeDocument/2006/relationships/hyperlink" Target="http://www.w3.org/TR/WCAG20/" TargetMode="External"/><Relationship Id="rId3" Type="http://schemas.openxmlformats.org/officeDocument/2006/relationships/hyperlink" Target="http://www.w3.org/TR/WCAG20/" TargetMode="External"/><Relationship Id="rId12" Type="http://schemas.openxmlformats.org/officeDocument/2006/relationships/hyperlink" Target="https://www.w3.org/TR/WCAG21/" TargetMode="External"/><Relationship Id="rId17" Type="http://schemas.openxmlformats.org/officeDocument/2006/relationships/hyperlink" Target="http://www.w3.org/TR/WCAG20/" TargetMode="External"/><Relationship Id="rId25" Type="http://schemas.openxmlformats.org/officeDocument/2006/relationships/hyperlink" Target="http://www.w3.org/TR/WCAG20/" TargetMode="External"/><Relationship Id="rId33" Type="http://schemas.openxmlformats.org/officeDocument/2006/relationships/hyperlink" Target="http://www.w3.org/TR/WCAG20/" TargetMode="External"/><Relationship Id="rId38" Type="http://schemas.openxmlformats.org/officeDocument/2006/relationships/hyperlink" Target="https://www.w3.org/TR/WCAG22/" TargetMode="External"/><Relationship Id="rId46" Type="http://schemas.openxmlformats.org/officeDocument/2006/relationships/hyperlink" Target="http://www.w3.org/TR/WCAG20/" TargetMode="External"/><Relationship Id="rId20" Type="http://schemas.openxmlformats.org/officeDocument/2006/relationships/hyperlink" Target="https://www.w3.org/TR/WCAG21/" TargetMode="External"/><Relationship Id="rId41" Type="http://schemas.openxmlformats.org/officeDocument/2006/relationships/hyperlink" Target="https://www.w3.org/TR/WCAG21/" TargetMode="External"/><Relationship Id="rId54" Type="http://schemas.openxmlformats.org/officeDocument/2006/relationships/hyperlink" Target="http://www.w3.org/TR/WCAG20/" TargetMode="External"/><Relationship Id="rId1" Type="http://schemas.openxmlformats.org/officeDocument/2006/relationships/hyperlink" Target="http://www.w3.org/TR/WCAG20/" TargetMode="External"/><Relationship Id="rId6" Type="http://schemas.openxmlformats.org/officeDocument/2006/relationships/hyperlink" Target="http://www.w3.org/TR/WCAG20/" TargetMode="External"/><Relationship Id="rId15" Type="http://schemas.openxmlformats.org/officeDocument/2006/relationships/hyperlink" Target="http://www.w3.org/TR/WCAG20/" TargetMode="External"/><Relationship Id="rId23" Type="http://schemas.openxmlformats.org/officeDocument/2006/relationships/hyperlink" Target="https://www.w3.org/TR/WCAG21/" TargetMode="External"/><Relationship Id="rId28" Type="http://schemas.openxmlformats.org/officeDocument/2006/relationships/hyperlink" Target="http://www.w3.org/TR/WCAG20/" TargetMode="External"/><Relationship Id="rId36" Type="http://schemas.openxmlformats.org/officeDocument/2006/relationships/hyperlink" Target="https://www.w3.org/TR/WCAG21/" TargetMode="External"/><Relationship Id="rId49" Type="http://schemas.openxmlformats.org/officeDocument/2006/relationships/hyperlink" Target="https://www.w3.org/TR/WCAG22/" TargetMode="External"/><Relationship Id="rId57" Type="http://schemas.openxmlformats.org/officeDocument/2006/relationships/table" Target="../tables/table9.xml"/><Relationship Id="rId10" Type="http://schemas.openxmlformats.org/officeDocument/2006/relationships/hyperlink" Target="http://www.w3.org/TR/WCAG20/" TargetMode="External"/><Relationship Id="rId31" Type="http://schemas.openxmlformats.org/officeDocument/2006/relationships/hyperlink" Target="http://www.w3.org/TR/WCAG20/" TargetMode="External"/><Relationship Id="rId44" Type="http://schemas.openxmlformats.org/officeDocument/2006/relationships/hyperlink" Target="https://www.w3.org/TR/WCAG21/" TargetMode="External"/><Relationship Id="rId52" Type="http://schemas.openxmlformats.org/officeDocument/2006/relationships/hyperlink" Target="http://www.w3.org/TR/WCAG20/"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www.w3.org/TR/WCAG20/" TargetMode="External"/><Relationship Id="rId18" Type="http://schemas.openxmlformats.org/officeDocument/2006/relationships/hyperlink" Target="http://www.w3.org/TR/WCAG20/" TargetMode="External"/><Relationship Id="rId26" Type="http://schemas.openxmlformats.org/officeDocument/2006/relationships/hyperlink" Target="http://www.w3.org/TR/WCAG20/" TargetMode="External"/><Relationship Id="rId39" Type="http://schemas.openxmlformats.org/officeDocument/2006/relationships/hyperlink" Target="http://www.w3.org/TR/WCAG20/" TargetMode="External"/><Relationship Id="rId21" Type="http://schemas.openxmlformats.org/officeDocument/2006/relationships/hyperlink" Target="http://www.w3.org/TR/WCAG20/" TargetMode="External"/><Relationship Id="rId34" Type="http://schemas.openxmlformats.org/officeDocument/2006/relationships/hyperlink" Target="http://www.w3.org/TR/WCAG20/" TargetMode="External"/><Relationship Id="rId42" Type="http://schemas.openxmlformats.org/officeDocument/2006/relationships/hyperlink" Target="https://www.w3.org/TR/WCAG21/" TargetMode="External"/><Relationship Id="rId47" Type="http://schemas.openxmlformats.org/officeDocument/2006/relationships/hyperlink" Target="https://www.w3.org/TR/WCAG21/"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www.w3.org/TR/WCAG20/" TargetMode="External"/><Relationship Id="rId2" Type="http://schemas.openxmlformats.org/officeDocument/2006/relationships/hyperlink" Target="http://www.w3.org/TR/WCAG20/" TargetMode="External"/><Relationship Id="rId16" Type="http://schemas.openxmlformats.org/officeDocument/2006/relationships/hyperlink" Target="http://www.w3.org/TR/WCAG20/" TargetMode="External"/><Relationship Id="rId29" Type="http://schemas.openxmlformats.org/officeDocument/2006/relationships/hyperlink" Target="https://www.w3.org/TR/WCAG21/" TargetMode="External"/><Relationship Id="rId11" Type="http://schemas.openxmlformats.org/officeDocument/2006/relationships/hyperlink" Target="http://www.w3.org/TR/WCAG20/" TargetMode="External"/><Relationship Id="rId24" Type="http://schemas.openxmlformats.org/officeDocument/2006/relationships/hyperlink" Target="http://www.w3.org/TR/WCAG20/" TargetMode="External"/><Relationship Id="rId32" Type="http://schemas.openxmlformats.org/officeDocument/2006/relationships/hyperlink" Target="http://www.w3.org/TR/WCAG20/" TargetMode="External"/><Relationship Id="rId37" Type="http://schemas.openxmlformats.org/officeDocument/2006/relationships/hyperlink" Target="https://www.w3.org/TR/WCAG21/" TargetMode="External"/><Relationship Id="rId40" Type="http://schemas.openxmlformats.org/officeDocument/2006/relationships/hyperlink" Target="https://www.w3.org/TR/WCAG21/" TargetMode="External"/><Relationship Id="rId45" Type="http://schemas.openxmlformats.org/officeDocument/2006/relationships/hyperlink" Target="https://www.w3.org/TR/WCAG21/" TargetMode="External"/><Relationship Id="rId53" Type="http://schemas.openxmlformats.org/officeDocument/2006/relationships/hyperlink" Target="https://www.w3.org/TR/WCAG22/" TargetMode="External"/><Relationship Id="rId5" Type="http://schemas.openxmlformats.org/officeDocument/2006/relationships/hyperlink" Target="http://www.w3.org/TR/WCAG20/" TargetMode="External"/><Relationship Id="rId10" Type="http://schemas.openxmlformats.org/officeDocument/2006/relationships/hyperlink" Target="http://www.w3.org/TR/WCAG20/" TargetMode="External"/><Relationship Id="rId19" Type="http://schemas.openxmlformats.org/officeDocument/2006/relationships/hyperlink" Target="http://www.w3.org/TR/WCAG20/" TargetMode="External"/><Relationship Id="rId31" Type="http://schemas.openxmlformats.org/officeDocument/2006/relationships/hyperlink" Target="http://www.w3.org/TR/WCAG20/" TargetMode="External"/><Relationship Id="rId44" Type="http://schemas.openxmlformats.org/officeDocument/2006/relationships/hyperlink" Target="https://www.w3.org/TR/WCAG21/" TargetMode="External"/><Relationship Id="rId52" Type="http://schemas.openxmlformats.org/officeDocument/2006/relationships/hyperlink" Target="https://www.w3.org/TR/WCAG22/" TargetMode="External"/><Relationship Id="rId4" Type="http://schemas.openxmlformats.org/officeDocument/2006/relationships/hyperlink" Target="http://www.w3.org/TR/WCAG20/" TargetMode="External"/><Relationship Id="rId9" Type="http://schemas.openxmlformats.org/officeDocument/2006/relationships/hyperlink" Target="http://www.w3.org/TR/WCAG20/" TargetMode="External"/><Relationship Id="rId14" Type="http://schemas.openxmlformats.org/officeDocument/2006/relationships/hyperlink" Target="http://www.w3.org/TR/WCAG20/" TargetMode="External"/><Relationship Id="rId22" Type="http://schemas.openxmlformats.org/officeDocument/2006/relationships/hyperlink" Target="http://www.w3.org/TR/WCAG20/" TargetMode="External"/><Relationship Id="rId27" Type="http://schemas.openxmlformats.org/officeDocument/2006/relationships/hyperlink" Target="http://www.w3.org/TR/WCAG20/" TargetMode="External"/><Relationship Id="rId30" Type="http://schemas.openxmlformats.org/officeDocument/2006/relationships/hyperlink" Target="http://www.w3.org/TR/WCAG20/" TargetMode="External"/><Relationship Id="rId35" Type="http://schemas.openxmlformats.org/officeDocument/2006/relationships/hyperlink" Target="http://www.w3.org/TR/WCAG20/" TargetMode="External"/><Relationship Id="rId43" Type="http://schemas.openxmlformats.org/officeDocument/2006/relationships/hyperlink" Target="https://www.w3.org/TR/WCAG21/" TargetMode="External"/><Relationship Id="rId48" Type="http://schemas.openxmlformats.org/officeDocument/2006/relationships/hyperlink" Target="https://www.w3.org/TR/WCAG21/" TargetMode="External"/><Relationship Id="rId56" Type="http://schemas.openxmlformats.org/officeDocument/2006/relationships/hyperlink" Target="http://www.w3.org/TR/WCAG20/" TargetMode="External"/><Relationship Id="rId8" Type="http://schemas.openxmlformats.org/officeDocument/2006/relationships/hyperlink" Target="http://www.w3.org/TR/WCAG20/" TargetMode="External"/><Relationship Id="rId51" Type="http://schemas.openxmlformats.org/officeDocument/2006/relationships/hyperlink" Target="https://www.w3.org/TR/WCAG22/" TargetMode="External"/><Relationship Id="rId3" Type="http://schemas.openxmlformats.org/officeDocument/2006/relationships/hyperlink" Target="http://www.w3.org/TR/WCAG20/" TargetMode="External"/><Relationship Id="rId12" Type="http://schemas.openxmlformats.org/officeDocument/2006/relationships/hyperlink" Target="http://www.w3.org/TR/WCAG20/" TargetMode="External"/><Relationship Id="rId17" Type="http://schemas.openxmlformats.org/officeDocument/2006/relationships/hyperlink" Target="http://www.w3.org/TR/WCAG20/" TargetMode="External"/><Relationship Id="rId25" Type="http://schemas.openxmlformats.org/officeDocument/2006/relationships/hyperlink" Target="http://www.w3.org/TR/WCAG20/" TargetMode="External"/><Relationship Id="rId33" Type="http://schemas.openxmlformats.org/officeDocument/2006/relationships/hyperlink" Target="http://www.w3.org/TR/WCAG20/" TargetMode="External"/><Relationship Id="rId38" Type="http://schemas.openxmlformats.org/officeDocument/2006/relationships/hyperlink" Target="https://www.w3.org/TR/WCAG21/" TargetMode="External"/><Relationship Id="rId46" Type="http://schemas.openxmlformats.org/officeDocument/2006/relationships/hyperlink" Target="https://www.w3.org/TR/WCAG21/" TargetMode="External"/><Relationship Id="rId20" Type="http://schemas.openxmlformats.org/officeDocument/2006/relationships/hyperlink" Target="http://www.w3.org/TR/WCAG20/" TargetMode="External"/><Relationship Id="rId41" Type="http://schemas.openxmlformats.org/officeDocument/2006/relationships/hyperlink" Target="https://www.w3.org/TR/WCAG21/" TargetMode="External"/><Relationship Id="rId54" Type="http://schemas.openxmlformats.org/officeDocument/2006/relationships/hyperlink" Target="https://www.w3.org/TR/WCAG22/" TargetMode="External"/><Relationship Id="rId1" Type="http://schemas.openxmlformats.org/officeDocument/2006/relationships/hyperlink" Target="http://www.w3.org/TR/WCAG20/" TargetMode="External"/><Relationship Id="rId6" Type="http://schemas.openxmlformats.org/officeDocument/2006/relationships/hyperlink" Target="http://www.w3.org/TR/WCAG20/" TargetMode="External"/><Relationship Id="rId15" Type="http://schemas.openxmlformats.org/officeDocument/2006/relationships/hyperlink" Target="http://www.w3.org/TR/WCAG20/" TargetMode="External"/><Relationship Id="rId23" Type="http://schemas.openxmlformats.org/officeDocument/2006/relationships/hyperlink" Target="http://www.w3.org/TR/WCAG20/" TargetMode="External"/><Relationship Id="rId28" Type="http://schemas.openxmlformats.org/officeDocument/2006/relationships/hyperlink" Target="http://www.w3.org/TR/WCAG20/" TargetMode="External"/><Relationship Id="rId36" Type="http://schemas.openxmlformats.org/officeDocument/2006/relationships/hyperlink" Target="http://www.w3.org/TR/WCAG20/" TargetMode="External"/><Relationship Id="rId49" Type="http://schemas.openxmlformats.org/officeDocument/2006/relationships/hyperlink" Target="http://www.w3.org/TR/WCAG20/"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86E43-CDA1-264D-98D2-CA86C32EF30C}">
  <dimension ref="A1:A18"/>
  <sheetViews>
    <sheetView topLeftCell="A2" zoomScale="80" zoomScaleNormal="80" workbookViewId="0"/>
  </sheetViews>
  <sheetFormatPr baseColWidth="10" defaultColWidth="9.42578125" defaultRowHeight="18" x14ac:dyDescent="0.2"/>
  <cols>
    <col min="1" max="1" width="217.28515625" style="6" customWidth="1"/>
  </cols>
  <sheetData>
    <row r="1" spans="1:1" ht="21" thickBot="1" x14ac:dyDescent="0.25">
      <c r="A1" s="1"/>
    </row>
    <row r="2" spans="1:1" ht="322" customHeight="1" thickTop="1" x14ac:dyDescent="0.2">
      <c r="A2" s="2" t="s">
        <v>0</v>
      </c>
    </row>
    <row r="3" spans="1:1" ht="323" customHeight="1" x14ac:dyDescent="0.2">
      <c r="A3" s="2" t="s">
        <v>1</v>
      </c>
    </row>
    <row r="4" spans="1:1" ht="95" x14ac:dyDescent="0.2">
      <c r="A4" s="3" t="s">
        <v>2</v>
      </c>
    </row>
    <row r="5" spans="1:1" ht="152" x14ac:dyDescent="0.2">
      <c r="A5" s="2" t="s">
        <v>3</v>
      </c>
    </row>
    <row r="6" spans="1:1" ht="228" x14ac:dyDescent="0.2">
      <c r="A6" s="2" t="s">
        <v>4</v>
      </c>
    </row>
    <row r="7" spans="1:1" ht="34" customHeight="1" x14ac:dyDescent="0.2">
      <c r="A7" s="4" t="s">
        <v>5</v>
      </c>
    </row>
    <row r="8" spans="1:1" ht="34" customHeight="1" x14ac:dyDescent="0.2">
      <c r="A8" s="4" t="s">
        <v>6</v>
      </c>
    </row>
    <row r="9" spans="1:1" ht="117" customHeight="1" x14ac:dyDescent="0.2">
      <c r="A9" s="4" t="s">
        <v>7</v>
      </c>
    </row>
    <row r="10" spans="1:1" ht="19" x14ac:dyDescent="0.2">
      <c r="A10" s="5" t="s">
        <v>8</v>
      </c>
    </row>
    <row r="11" spans="1:1" ht="38" x14ac:dyDescent="0.2">
      <c r="A11" s="6" t="s">
        <v>9</v>
      </c>
    </row>
    <row r="12" spans="1:1" ht="19" x14ac:dyDescent="0.2">
      <c r="A12" s="6" t="s">
        <v>10</v>
      </c>
    </row>
    <row r="13" spans="1:1" ht="19" x14ac:dyDescent="0.2">
      <c r="A13" s="6" t="s">
        <v>11</v>
      </c>
    </row>
    <row r="14" spans="1:1" ht="19" x14ac:dyDescent="0.2">
      <c r="A14" s="6" t="s">
        <v>12</v>
      </c>
    </row>
    <row r="15" spans="1:1" ht="19" x14ac:dyDescent="0.2">
      <c r="A15" s="7" t="s">
        <v>13</v>
      </c>
    </row>
    <row r="16" spans="1:1" ht="19" x14ac:dyDescent="0.2">
      <c r="A16" s="8" t="s">
        <v>14</v>
      </c>
    </row>
    <row r="17" spans="1:1" ht="19" x14ac:dyDescent="0.25">
      <c r="A17" s="9" t="s">
        <v>15</v>
      </c>
    </row>
    <row r="18" spans="1:1" ht="19" x14ac:dyDescent="0.2">
      <c r="A18" s="6" t="s">
        <v>16</v>
      </c>
    </row>
  </sheetData>
  <hyperlinks>
    <hyperlink ref="A15" r:id="rId1" display="accessibility@uta.edu" xr:uid="{73F3DCD9-EC32-1E4F-96A5-B0FDC756E2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3C593-542D-EC4C-8A57-73EA8E78074C}">
  <dimension ref="A1:J69"/>
  <sheetViews>
    <sheetView topLeftCell="A33" zoomScale="90" zoomScaleNormal="90" workbookViewId="0">
      <selection activeCell="E58" sqref="E58"/>
    </sheetView>
  </sheetViews>
  <sheetFormatPr baseColWidth="10" defaultColWidth="11.5703125" defaultRowHeight="16" x14ac:dyDescent="0.2"/>
  <cols>
    <col min="1" max="1" width="24.28515625" customWidth="1"/>
    <col min="2" max="2" width="25.85546875" customWidth="1"/>
    <col min="3" max="3" width="23.85546875" customWidth="1"/>
    <col min="4" max="4" width="21.140625" customWidth="1"/>
    <col min="5" max="5" width="17.28515625" customWidth="1"/>
    <col min="6" max="6" width="12.140625" customWidth="1"/>
    <col min="7" max="7" width="16.28515625" customWidth="1"/>
    <col min="8" max="8" width="12.42578125" customWidth="1"/>
    <col min="9" max="9" width="14.5703125" customWidth="1"/>
    <col min="10" max="10" width="54.42578125" customWidth="1"/>
  </cols>
  <sheetData>
    <row r="1" spans="1:4" ht="21" thickBot="1" x14ac:dyDescent="0.25">
      <c r="A1" s="164" t="s">
        <v>276</v>
      </c>
      <c r="B1" s="165"/>
    </row>
    <row r="2" spans="1:4" ht="27" customHeight="1" thickTop="1" x14ac:dyDescent="0.2">
      <c r="A2" s="144" t="s">
        <v>17</v>
      </c>
      <c r="B2" s="145" t="s">
        <v>18</v>
      </c>
    </row>
    <row r="3" spans="1:4" ht="27" customHeight="1" x14ac:dyDescent="0.2">
      <c r="A3" s="109" t="s">
        <v>19</v>
      </c>
      <c r="B3" s="134"/>
    </row>
    <row r="4" spans="1:4" ht="27" customHeight="1" x14ac:dyDescent="0.2">
      <c r="A4" s="109" t="s">
        <v>20</v>
      </c>
      <c r="B4" s="134"/>
    </row>
    <row r="5" spans="1:4" ht="27" customHeight="1" x14ac:dyDescent="0.2">
      <c r="A5" s="110" t="s">
        <v>21</v>
      </c>
      <c r="B5" s="146" t="str">
        <f>+H37</f>
        <v>A</v>
      </c>
    </row>
    <row r="6" spans="1:4" ht="27" customHeight="1" x14ac:dyDescent="0.2">
      <c r="A6" s="110" t="s">
        <v>22</v>
      </c>
      <c r="B6" s="147" t="str">
        <f>IF(H37="A","Low",IF(OR(B21="Yes",B19+B20&gt;=5000),"Very high",IF(AND(B21="No",B19+B20&gt;=501,B19+B20&lt;=5000),"High",IF(AND(B21="No",B19+B20&gt;=51,B19+B20&lt;=500),"Moderate",IF(AND(B21="No",B19+B20&lt;=50),"Low","")))))</f>
        <v>Low</v>
      </c>
    </row>
    <row r="8" spans="1:4" ht="19" thickBot="1" x14ac:dyDescent="0.25">
      <c r="A8" s="81" t="s">
        <v>23</v>
      </c>
      <c r="B8" s="82"/>
      <c r="C8" s="83"/>
      <c r="D8" s="82"/>
    </row>
    <row r="9" spans="1:4" ht="27" customHeight="1" thickTop="1" x14ac:dyDescent="0.2">
      <c r="A9" s="148" t="s">
        <v>18</v>
      </c>
      <c r="B9" s="149" t="s">
        <v>24</v>
      </c>
      <c r="C9" s="150" t="s">
        <v>25</v>
      </c>
      <c r="D9" s="151" t="s">
        <v>26</v>
      </c>
    </row>
    <row r="10" spans="1:4" ht="29" customHeight="1" x14ac:dyDescent="0.2">
      <c r="A10" s="111" t="s">
        <v>27</v>
      </c>
      <c r="B10" s="135"/>
      <c r="C10" s="112"/>
      <c r="D10" s="80"/>
    </row>
    <row r="11" spans="1:4" ht="29" customHeight="1" x14ac:dyDescent="0.2">
      <c r="A11" s="113" t="s">
        <v>28</v>
      </c>
      <c r="B11" s="136"/>
      <c r="C11" s="114"/>
      <c r="D11" s="115"/>
    </row>
    <row r="12" spans="1:4" ht="29" customHeight="1" x14ac:dyDescent="0.2">
      <c r="A12" s="113" t="s">
        <v>29</v>
      </c>
      <c r="B12" s="137"/>
      <c r="C12" s="114"/>
      <c r="D12" s="115"/>
    </row>
    <row r="13" spans="1:4" ht="40" customHeight="1" x14ac:dyDescent="0.2">
      <c r="A13" s="113" t="s">
        <v>30</v>
      </c>
      <c r="B13" s="138"/>
      <c r="C13" s="117" t="str">
        <f>IF(((DATEDIF($B$13,$B$16,"D")/365)&gt;2),"CAUTION VPAT IS &gt; 2 YEARS OLD","Current")</f>
        <v>Current</v>
      </c>
      <c r="D13" s="116" t="s">
        <v>31</v>
      </c>
    </row>
    <row r="14" spans="1:4" ht="29" customHeight="1" x14ac:dyDescent="0.2">
      <c r="A14" s="111" t="s">
        <v>32</v>
      </c>
      <c r="B14" s="139" t="s">
        <v>33</v>
      </c>
      <c r="C14" s="117" t="s">
        <v>34</v>
      </c>
      <c r="D14" s="115"/>
    </row>
    <row r="15" spans="1:4" ht="29" customHeight="1" x14ac:dyDescent="0.2">
      <c r="A15" s="111" t="s">
        <v>35</v>
      </c>
      <c r="B15" s="139"/>
      <c r="C15" s="114"/>
      <c r="D15" s="115"/>
    </row>
    <row r="16" spans="1:4" ht="29" customHeight="1" x14ac:dyDescent="0.2">
      <c r="A16" s="111" t="s">
        <v>36</v>
      </c>
      <c r="B16" s="138"/>
      <c r="C16" s="114"/>
      <c r="D16" s="115"/>
    </row>
    <row r="17" spans="1:10" ht="29" customHeight="1" x14ac:dyDescent="0.2">
      <c r="A17" s="118" t="s">
        <v>37</v>
      </c>
      <c r="B17" s="140">
        <v>30000</v>
      </c>
      <c r="C17" s="114" t="s">
        <v>38</v>
      </c>
      <c r="D17" s="115"/>
    </row>
    <row r="18" spans="1:10" ht="42" customHeight="1" x14ac:dyDescent="0.2">
      <c r="A18" s="111" t="s">
        <v>39</v>
      </c>
      <c r="B18" s="134" t="s">
        <v>40</v>
      </c>
      <c r="C18" s="117" t="s">
        <v>41</v>
      </c>
      <c r="D18" s="115"/>
    </row>
    <row r="19" spans="1:10" ht="42" customHeight="1" x14ac:dyDescent="0.2">
      <c r="A19" s="111" t="s">
        <v>42</v>
      </c>
      <c r="B19" s="141">
        <v>0</v>
      </c>
      <c r="C19" s="114" t="s">
        <v>38</v>
      </c>
      <c r="D19" s="115"/>
    </row>
    <row r="20" spans="1:10" ht="42" customHeight="1" x14ac:dyDescent="0.2">
      <c r="A20" s="111" t="s">
        <v>43</v>
      </c>
      <c r="B20" s="139">
        <v>10</v>
      </c>
      <c r="C20" s="114" t="s">
        <v>38</v>
      </c>
      <c r="D20" s="115"/>
    </row>
    <row r="21" spans="1:10" ht="42" customHeight="1" x14ac:dyDescent="0.2">
      <c r="A21" s="111" t="s">
        <v>44</v>
      </c>
      <c r="B21" s="139" t="s">
        <v>40</v>
      </c>
      <c r="C21" s="114" t="s">
        <v>38</v>
      </c>
      <c r="D21" s="115"/>
    </row>
    <row r="22" spans="1:10" ht="42" customHeight="1" x14ac:dyDescent="0.2">
      <c r="A22" s="119" t="s">
        <v>45</v>
      </c>
      <c r="B22" s="142" t="s">
        <v>46</v>
      </c>
      <c r="C22" s="120" t="s">
        <v>47</v>
      </c>
      <c r="D22" s="115"/>
    </row>
    <row r="23" spans="1:10" ht="42" customHeight="1" x14ac:dyDescent="0.2">
      <c r="A23" s="119" t="s">
        <v>48</v>
      </c>
      <c r="B23" s="143"/>
      <c r="C23" s="117" t="s">
        <v>49</v>
      </c>
      <c r="D23" s="115"/>
    </row>
    <row r="25" spans="1:10" ht="19" thickBot="1" x14ac:dyDescent="0.25">
      <c r="A25" s="89" t="s">
        <v>50</v>
      </c>
    </row>
    <row r="26" spans="1:10" ht="35" thickTop="1" x14ac:dyDescent="0.2">
      <c r="A26" s="107" t="s">
        <v>51</v>
      </c>
      <c r="B26" s="86" t="s">
        <v>52</v>
      </c>
      <c r="C26" s="86" t="s">
        <v>53</v>
      </c>
      <c r="D26" s="86" t="s">
        <v>54</v>
      </c>
      <c r="E26" s="86" t="s">
        <v>55</v>
      </c>
      <c r="F26" s="86" t="s">
        <v>56</v>
      </c>
      <c r="G26" s="86" t="s">
        <v>57</v>
      </c>
      <c r="H26" s="87" t="s">
        <v>58</v>
      </c>
      <c r="I26" s="105" t="s">
        <v>59</v>
      </c>
      <c r="J26" s="106" t="s">
        <v>60</v>
      </c>
    </row>
    <row r="27" spans="1:10" x14ac:dyDescent="0.2">
      <c r="A27" s="85" t="s">
        <v>61</v>
      </c>
      <c r="B27" s="10">
        <f>COUNTIFS(ACR!$B$2:$B$57,"Extremely Important",ACR!$C$2:$C$57,"Does not support",ACR!$H$2:$H$57,1)</f>
        <v>0</v>
      </c>
      <c r="C27" s="10">
        <f>COUNTIFS(ACR!$B$2:$B$57,"Extremely Important",ACR!$C$2:$C$57,"Partially supports",ACR!$H$2:$H$57,1)</f>
        <v>0</v>
      </c>
      <c r="D27" s="10">
        <f>COUNTIFS(ACR!$B$2:$B$57,"Extremely Important",ACR!$C$2:$C$57,"Supports",ACR!$H$2:$H$57,1)</f>
        <v>18</v>
      </c>
      <c r="E27" s="101"/>
      <c r="F27" s="101"/>
      <c r="G27" s="101"/>
      <c r="H27" s="101"/>
      <c r="I27" s="102" t="s">
        <v>62</v>
      </c>
      <c r="J27" s="103" t="s">
        <v>63</v>
      </c>
    </row>
    <row r="28" spans="1:10" x14ac:dyDescent="0.2">
      <c r="A28" s="85" t="s">
        <v>64</v>
      </c>
      <c r="B28" s="10">
        <f>COUNTIFS(ACR!$B$2:$B$57,"Somewhat Important",ACR!$C$2:$C$57,"Does not support",ACR!$H$2:$H$57,1)</f>
        <v>0</v>
      </c>
      <c r="C28" s="10">
        <f>COUNTIFS(ACR!$B$2:$B$57,"Somewhat Important",ACR!$C$2:$C$57,"Partially supports",ACR!$H$2:$H$57,1)</f>
        <v>0</v>
      </c>
      <c r="D28" s="10">
        <f>COUNTIFS(ACR!$B$2:$B$57,"Somewhat Important",ACR!$C$2:$C$57,"Supports",ACR!$H$2:$H$57,1)</f>
        <v>14</v>
      </c>
      <c r="E28" s="101"/>
      <c r="F28" s="101"/>
      <c r="G28" s="101"/>
      <c r="H28" s="101"/>
      <c r="I28" s="102" t="s">
        <v>65</v>
      </c>
      <c r="J28" s="103" t="s">
        <v>271</v>
      </c>
    </row>
    <row r="29" spans="1:10" x14ac:dyDescent="0.2">
      <c r="A29" s="85" t="s">
        <v>66</v>
      </c>
      <c r="B29" s="108">
        <f>COUNTIFS(ACR!$B$2:$B$57,"Standard",ACR!$C$2:$C$57,"Does not support",ACR!$H$2:$H$57,1)</f>
        <v>0</v>
      </c>
      <c r="C29" s="108">
        <f>COUNTIFS(ACR!$B$2:$B$57,"Standard",ACR!$C$2:$C$57,"Partially supports",ACR!$H$2:$H$57,1)</f>
        <v>0</v>
      </c>
      <c r="D29" s="108">
        <f>COUNTIFS(ACR!$B$2:$B$57,"Standard",ACR!$C$2:$C$57,"Supports",ACR!$H$2:$H$57,1)</f>
        <v>21</v>
      </c>
      <c r="E29" s="101"/>
      <c r="F29" s="101"/>
      <c r="G29" s="101"/>
      <c r="H29" s="101"/>
      <c r="I29" s="102" t="s">
        <v>67</v>
      </c>
      <c r="J29" s="103" t="s">
        <v>68</v>
      </c>
    </row>
    <row r="30" spans="1:10" s="58" customFormat="1" ht="29" customHeight="1" x14ac:dyDescent="0.2">
      <c r="A30" s="121" t="s">
        <v>69</v>
      </c>
      <c r="B30" s="79">
        <f>+B27+B28+B29</f>
        <v>0</v>
      </c>
      <c r="C30" s="79">
        <f>+C27+C28+C29</f>
        <v>0</v>
      </c>
      <c r="D30" s="79">
        <f>+D27+D28+D29</f>
        <v>53</v>
      </c>
      <c r="E30" s="58">
        <f t="shared" ref="E30" si="0">+B27+C27+D27+B28+C28+D28+B29+C29+D29</f>
        <v>53</v>
      </c>
      <c r="F30" s="133">
        <f>(B27*$B$41)+(B28*$B$42)+(B29*$B$43)+(C27*$C$41)+(C28*$C$42)+(C29*$C$43)+(D27*$D$41)+(D28*$D$42)+(D29*$D$43)</f>
        <v>5300</v>
      </c>
      <c r="G30" s="58">
        <f t="shared" ref="G30" si="1">56*100</f>
        <v>5600</v>
      </c>
      <c r="H30" s="79" t="str">
        <f t="shared" ref="H30" si="2">IF(G30=0,"N/A",IF(F30/G30&gt;=0.95,"A",IF(AND(F30/G30&gt;=0.85,B19=0,B21="No"),"B",IF(AND(F30/G30&lt;=0.95,AND(B19&lt;=50,B20&lt;=50),B21="No",B17&lt;=25000),"C",IF(B17&lt;25000,"D","F")))))</f>
        <v>B</v>
      </c>
      <c r="I30" s="122" t="s">
        <v>70</v>
      </c>
      <c r="J30" s="82" t="s">
        <v>71</v>
      </c>
    </row>
    <row r="31" spans="1:10" x14ac:dyDescent="0.2">
      <c r="A31" s="103"/>
      <c r="B31" s="10"/>
      <c r="C31" s="10"/>
      <c r="D31" s="10"/>
      <c r="H31" s="10"/>
      <c r="I31" s="102"/>
      <c r="J31" s="99"/>
    </row>
    <row r="32" spans="1:10" ht="19" thickBot="1" x14ac:dyDescent="0.25">
      <c r="A32" s="89" t="s">
        <v>72</v>
      </c>
      <c r="B32" s="10"/>
      <c r="C32" s="10"/>
      <c r="D32" s="10"/>
      <c r="H32" s="123"/>
    </row>
    <row r="33" spans="1:10" ht="35" thickTop="1" x14ac:dyDescent="0.2">
      <c r="A33" s="152" t="s">
        <v>73</v>
      </c>
      <c r="B33" s="86" t="s">
        <v>74</v>
      </c>
      <c r="C33" s="86" t="s">
        <v>75</v>
      </c>
      <c r="D33" s="86" t="s">
        <v>76</v>
      </c>
      <c r="E33" s="86" t="s">
        <v>77</v>
      </c>
      <c r="F33" s="86" t="s">
        <v>78</v>
      </c>
      <c r="G33" s="86" t="s">
        <v>79</v>
      </c>
      <c r="H33" s="153" t="s">
        <v>80</v>
      </c>
      <c r="I33" s="124" t="s">
        <v>81</v>
      </c>
      <c r="J33" s="104" t="s">
        <v>60</v>
      </c>
    </row>
    <row r="34" spans="1:10" x14ac:dyDescent="0.2">
      <c r="A34" s="85" t="s">
        <v>82</v>
      </c>
      <c r="B34" s="10">
        <f>COUNTIFS(ACR!$B$2:$B$57,"Extremely Important",ACR!$C$2:$C$57,"Does not support",ACR!$G$2:$G$57,1)</f>
        <v>0</v>
      </c>
      <c r="C34" s="10">
        <f>COUNTIFS(ACR!$B$2:$B$57,"Extremely Important",ACR!$C$2:$C$57,"Partially supports",ACR!$G$2:$G$57,1)</f>
        <v>0</v>
      </c>
      <c r="D34" s="10">
        <f>COUNTIFS(ACR!$B$2:$B$57,"Extremely Important",ACR!$C$2:$C$57,"Supports",ACR!$G$2:$G$57,1)</f>
        <v>17</v>
      </c>
      <c r="E34" s="101"/>
      <c r="F34" s="101"/>
      <c r="G34" s="101"/>
      <c r="H34" s="154"/>
      <c r="I34" s="127" t="s">
        <v>62</v>
      </c>
      <c r="J34" s="103" t="s">
        <v>83</v>
      </c>
    </row>
    <row r="35" spans="1:10" x14ac:dyDescent="0.2">
      <c r="A35" s="85" t="s">
        <v>84</v>
      </c>
      <c r="B35" s="10">
        <f>COUNTIFS(ACR!$B$2:$B$57,"Somewhat Important",ACR!$C$2:$C$57,"Does not support",ACR!$G$2:$G$57,1)</f>
        <v>0</v>
      </c>
      <c r="C35" s="10">
        <f>COUNTIFS(ACR!$B$2:$B$57,"Somewhat Important",ACR!$C$2:$C$57,"Partially supports",ACR!$G$2:$G$57,1)</f>
        <v>0</v>
      </c>
      <c r="D35" s="10">
        <f>COUNTIFS(ACR!$B$2:$B$57,"Somewhat Important",ACR!$C$2:$C$57,"Supports",ACR!$G$2:$G$57,1)</f>
        <v>11</v>
      </c>
      <c r="E35" s="101"/>
      <c r="F35" s="101"/>
      <c r="G35" s="101"/>
      <c r="H35" s="154"/>
      <c r="I35" s="127" t="s">
        <v>65</v>
      </c>
      <c r="J35" s="103" t="s">
        <v>272</v>
      </c>
    </row>
    <row r="36" spans="1:10" x14ac:dyDescent="0.2">
      <c r="A36" s="85" t="s">
        <v>85</v>
      </c>
      <c r="B36" s="108">
        <f>COUNTIFS(ACR!$B$2:$B$57,"Standard",ACR!$C$2:$C$57,"Does not support",ACR!$G$2:$G$57,1)</f>
        <v>0</v>
      </c>
      <c r="C36" s="108">
        <f>COUNTIFS(ACR!$B$2:$B$57,"Standard",ACR!$C$2:$C$57,"Partially supports",ACR!$G$2:$G$57,1)</f>
        <v>0</v>
      </c>
      <c r="D36" s="108">
        <f>COUNTIFS(ACR!$B$2:$B$57,"Standard",ACR!$C$2:$C$57,"Supports",ACR!$G$2:$G$57,1)</f>
        <v>20</v>
      </c>
      <c r="E36" s="101"/>
      <c r="F36" s="101"/>
      <c r="G36" s="101"/>
      <c r="H36" s="155"/>
      <c r="I36" s="102" t="s">
        <v>67</v>
      </c>
      <c r="J36" s="103" t="s">
        <v>68</v>
      </c>
    </row>
    <row r="37" spans="1:10" s="58" customFormat="1" ht="30" customHeight="1" thickBot="1" x14ac:dyDescent="0.25">
      <c r="A37" s="121" t="s">
        <v>86</v>
      </c>
      <c r="B37" s="79">
        <f>+B34+B35+B36</f>
        <v>0</v>
      </c>
      <c r="C37" s="79">
        <f>+C34+C35+C36</f>
        <v>0</v>
      </c>
      <c r="D37" s="79">
        <f>+D34+D35+D36</f>
        <v>48</v>
      </c>
      <c r="E37" s="58">
        <f t="shared" ref="E37" si="3">+B34+C34+D34+B35+C35+D35+B36+C36+D36</f>
        <v>48</v>
      </c>
      <c r="F37" s="133">
        <f>(B34*$B$41)+(B35*$B$42)+(B36*$B$43)+(C34*$C$41)+(C35*$C$42)+(C36*$C$43)+(D34*$D$41)+(D35*$D$42)+(D36*$D$43)</f>
        <v>4800</v>
      </c>
      <c r="G37" s="58">
        <f>+Table68[[#This Row],[2.1 Total Success Criteria]]*100</f>
        <v>4800</v>
      </c>
      <c r="H37" s="125" t="str">
        <f t="shared" ref="H37" si="4">IF(G37=0,"N/A",IF(F37/G37&gt;=0.95,"A",IF(AND(F37/G37&gt;=0.85,B19=0,B21="No"),"B",IF(AND(F37/G37&lt;=0.95,AND(B19&lt;=50,B20&lt;=50),B21="No",B17&lt;=25000),"C",IF(B17&lt;25000,"D","F")))))</f>
        <v>A</v>
      </c>
      <c r="I37" s="126" t="s">
        <v>70</v>
      </c>
      <c r="J37" s="82" t="s">
        <v>71</v>
      </c>
    </row>
    <row r="38" spans="1:10" ht="17" thickTop="1" x14ac:dyDescent="0.2">
      <c r="A38" s="103"/>
      <c r="B38" s="10"/>
      <c r="C38" s="10"/>
      <c r="D38" s="10"/>
      <c r="H38" s="10"/>
      <c r="I38" s="102"/>
      <c r="J38" s="99"/>
    </row>
    <row r="39" spans="1:10" ht="19" thickBot="1" x14ac:dyDescent="0.25">
      <c r="A39" s="89" t="s">
        <v>87</v>
      </c>
    </row>
    <row r="40" spans="1:10" ht="17" thickTop="1" x14ac:dyDescent="0.2">
      <c r="A40" s="156" t="s">
        <v>88</v>
      </c>
      <c r="B40" s="156" t="s">
        <v>89</v>
      </c>
      <c r="C40" s="156" t="s">
        <v>90</v>
      </c>
      <c r="D40" s="156" t="s">
        <v>91</v>
      </c>
    </row>
    <row r="41" spans="1:10" x14ac:dyDescent="0.2">
      <c r="A41" t="s">
        <v>92</v>
      </c>
      <c r="B41" s="10">
        <v>0.01</v>
      </c>
      <c r="C41" s="10">
        <v>30</v>
      </c>
      <c r="D41" s="10">
        <v>100</v>
      </c>
    </row>
    <row r="42" spans="1:10" x14ac:dyDescent="0.2">
      <c r="A42" t="s">
        <v>93</v>
      </c>
      <c r="B42" s="10">
        <v>0.01</v>
      </c>
      <c r="C42" s="10">
        <v>40</v>
      </c>
      <c r="D42" s="10">
        <v>100</v>
      </c>
    </row>
    <row r="43" spans="1:10" x14ac:dyDescent="0.2">
      <c r="A43" t="s">
        <v>94</v>
      </c>
      <c r="B43" s="10">
        <v>0.01</v>
      </c>
      <c r="C43" s="10">
        <v>50</v>
      </c>
      <c r="D43" s="10">
        <v>100</v>
      </c>
    </row>
    <row r="45" spans="1:10" ht="19" thickBot="1" x14ac:dyDescent="0.25">
      <c r="A45" s="89" t="s">
        <v>95</v>
      </c>
    </row>
    <row r="46" spans="1:10" ht="18" thickTop="1" x14ac:dyDescent="0.2">
      <c r="A46" s="157" t="s">
        <v>96</v>
      </c>
      <c r="B46" s="158" t="s">
        <v>97</v>
      </c>
      <c r="C46" s="159" t="s">
        <v>98</v>
      </c>
      <c r="D46" s="158" t="s">
        <v>99</v>
      </c>
    </row>
    <row r="47" spans="1:10" ht="34" x14ac:dyDescent="0.2">
      <c r="A47" s="79" t="s">
        <v>100</v>
      </c>
      <c r="B47" s="58" t="s">
        <v>101</v>
      </c>
      <c r="C47" s="57" t="s">
        <v>273</v>
      </c>
      <c r="D47" s="58" t="s">
        <v>102</v>
      </c>
    </row>
    <row r="48" spans="1:10" ht="34" x14ac:dyDescent="0.2">
      <c r="A48" s="79" t="s">
        <v>103</v>
      </c>
      <c r="B48" s="58" t="s">
        <v>104</v>
      </c>
      <c r="C48" s="88" t="s">
        <v>274</v>
      </c>
      <c r="D48" s="58" t="s">
        <v>102</v>
      </c>
    </row>
    <row r="49" spans="1:10" ht="68" x14ac:dyDescent="0.2">
      <c r="A49" s="79" t="s">
        <v>105</v>
      </c>
      <c r="B49" s="58" t="s">
        <v>106</v>
      </c>
      <c r="C49" s="88" t="s">
        <v>275</v>
      </c>
      <c r="D49" s="58" t="s">
        <v>102</v>
      </c>
    </row>
    <row r="50" spans="1:10" ht="34" x14ac:dyDescent="0.2">
      <c r="A50" s="79" t="s">
        <v>107</v>
      </c>
      <c r="B50" s="58" t="s">
        <v>108</v>
      </c>
      <c r="C50" s="57" t="s">
        <v>109</v>
      </c>
      <c r="D50" s="58" t="s">
        <v>110</v>
      </c>
    </row>
    <row r="51" spans="1:10" ht="34" x14ac:dyDescent="0.2">
      <c r="A51" s="79" t="s">
        <v>111</v>
      </c>
      <c r="B51" s="58" t="s">
        <v>112</v>
      </c>
      <c r="C51" s="57" t="s">
        <v>113</v>
      </c>
      <c r="D51" s="58" t="s">
        <v>110</v>
      </c>
    </row>
    <row r="52" spans="1:10" ht="44" customHeight="1" x14ac:dyDescent="0.2"/>
    <row r="53" spans="1:10" ht="44" customHeight="1" thickBot="1" x14ac:dyDescent="0.25">
      <c r="A53" s="100" t="s">
        <v>114</v>
      </c>
      <c r="B53" s="90"/>
    </row>
    <row r="54" spans="1:10" ht="44" customHeight="1" thickTop="1" x14ac:dyDescent="0.2">
      <c r="A54" s="57" t="s">
        <v>115</v>
      </c>
      <c r="B54" s="58" t="s">
        <v>116</v>
      </c>
      <c r="C54" s="58"/>
      <c r="D54" s="58"/>
      <c r="E54" s="58"/>
      <c r="F54" s="58"/>
      <c r="G54" s="58"/>
      <c r="H54" s="58"/>
      <c r="I54" s="58"/>
      <c r="J54" s="58"/>
    </row>
    <row r="55" spans="1:10" ht="44" customHeight="1" x14ac:dyDescent="0.2">
      <c r="A55" s="57" t="s">
        <v>117</v>
      </c>
      <c r="B55" s="58" t="s">
        <v>118</v>
      </c>
      <c r="C55" s="58"/>
      <c r="D55" s="58"/>
      <c r="E55" s="58"/>
      <c r="F55" s="58"/>
      <c r="G55" s="58"/>
      <c r="H55" s="58"/>
      <c r="I55" s="58"/>
      <c r="J55" s="58"/>
    </row>
    <row r="56" spans="1:10" s="58" customFormat="1" ht="44" customHeight="1" x14ac:dyDescent="0.2">
      <c r="A56" s="57" t="s">
        <v>119</v>
      </c>
      <c r="B56" s="58" t="s">
        <v>120</v>
      </c>
    </row>
    <row r="57" spans="1:10" s="58" customFormat="1" ht="44" customHeight="1" x14ac:dyDescent="0.2">
      <c r="A57" s="57" t="s">
        <v>121</v>
      </c>
      <c r="B57" s="58" t="s">
        <v>122</v>
      </c>
    </row>
    <row r="58" spans="1:10" s="58" customFormat="1" ht="44" customHeight="1" x14ac:dyDescent="0.2">
      <c r="A58" s="57" t="s">
        <v>123</v>
      </c>
      <c r="B58" s="58" t="s">
        <v>124</v>
      </c>
    </row>
    <row r="59" spans="1:10" s="58" customFormat="1" ht="28" customHeight="1" x14ac:dyDescent="0.2">
      <c r="A59"/>
      <c r="B59"/>
      <c r="C59"/>
      <c r="D59"/>
      <c r="E59"/>
      <c r="F59"/>
      <c r="G59"/>
      <c r="H59"/>
      <c r="I59"/>
      <c r="J59"/>
    </row>
    <row r="60" spans="1:10" s="58" customFormat="1" ht="38" customHeight="1" thickBot="1" x14ac:dyDescent="0.25">
      <c r="A60" s="91" t="s">
        <v>125</v>
      </c>
      <c r="B60" s="92"/>
      <c r="C60" s="92"/>
      <c r="D60" s="84"/>
      <c r="E60" s="84"/>
      <c r="F60"/>
      <c r="G60"/>
      <c r="H60"/>
      <c r="I60"/>
      <c r="J60"/>
    </row>
    <row r="61" spans="1:10" ht="35" thickTop="1" x14ac:dyDescent="0.2">
      <c r="A61" s="160" t="s">
        <v>126</v>
      </c>
      <c r="B61" s="161" t="s">
        <v>127</v>
      </c>
      <c r="C61" s="162" t="s">
        <v>128</v>
      </c>
      <c r="D61" s="163" t="s">
        <v>129</v>
      </c>
      <c r="E61" s="163" t="s">
        <v>130</v>
      </c>
    </row>
    <row r="62" spans="1:10" ht="34" customHeight="1" x14ac:dyDescent="0.2">
      <c r="A62" s="93" t="s">
        <v>131</v>
      </c>
      <c r="B62" s="94" cm="1">
        <f t="array" ref="B62">SUMPRODUCT(('List by Impact'!I2:I57)*(ACR!G2:G57))</f>
        <v>30</v>
      </c>
      <c r="C62" s="94" cm="1">
        <f t="array" ref="C62">SUMPRODUCT(('List by Impact'!I2:I57=1)*(ACR!G2:G57=1)*(ACR!C2:C57="Supports"))</f>
        <v>30</v>
      </c>
      <c r="D62" s="95">
        <f>+Impact[[#This Row],[Criteria Supported]]/Impact[[#This Row],[Total Criteria]]</f>
        <v>1</v>
      </c>
      <c r="E62" s="93" t="str">
        <f t="shared" ref="E62:E68" si="5">IF(D62=1,"Supported","Not Fully Support")</f>
        <v>Supported</v>
      </c>
    </row>
    <row r="63" spans="1:10" x14ac:dyDescent="0.2">
      <c r="A63" s="93" t="s">
        <v>132</v>
      </c>
      <c r="B63" s="94" cm="1">
        <f t="array" ref="B63">SUMPRODUCT(('List by Impact'!H2:H57)*(ACR!G2:G57))</f>
        <v>47</v>
      </c>
      <c r="C63" s="94" cm="1">
        <f t="array" ref="C63">SUMPRODUCT(('List by Impact'!H2:H57=1)*(ACR!G2:G57=1)*(ACR!C2:C57="Supports"))</f>
        <v>47</v>
      </c>
      <c r="D63" s="95">
        <f>+Impact[[#This Row],[Criteria Supported]]/Impact[[#This Row],[Total Criteria]]</f>
        <v>1</v>
      </c>
      <c r="E63" s="93" t="str">
        <f t="shared" si="5"/>
        <v>Supported</v>
      </c>
    </row>
    <row r="64" spans="1:10" x14ac:dyDescent="0.2">
      <c r="A64" s="93" t="s">
        <v>133</v>
      </c>
      <c r="B64" s="94" cm="1">
        <f t="array" ref="B64">SUMPRODUCT(('List by Impact'!E2:E57)*(ACR!G2:G57))</f>
        <v>44</v>
      </c>
      <c r="C64" s="94" cm="1">
        <f t="array" ref="C64">SUMPRODUCT(('List by Impact'!E2:E57=1)*(ACR!G2:G57=1)*(ACR!C2:C57="Supports"))</f>
        <v>44</v>
      </c>
      <c r="D64" s="95">
        <f>+Impact[[#This Row],[Criteria Supported]]/Impact[[#This Row],[Total Criteria]]</f>
        <v>1</v>
      </c>
      <c r="E64" s="93" t="str">
        <f t="shared" si="5"/>
        <v>Supported</v>
      </c>
    </row>
    <row r="65" spans="1:5" x14ac:dyDescent="0.2">
      <c r="A65" s="93" t="s">
        <v>134</v>
      </c>
      <c r="B65" s="94" cm="1">
        <f t="array" ref="B65">SUMPRODUCT(('List by Impact'!G2:G57)*(ACR!G2:G57))</f>
        <v>9</v>
      </c>
      <c r="C65" s="94" cm="1">
        <f t="array" ref="C65">SUMPRODUCT(('List by Impact'!G2:G57=1)*(ACR!G2:G57=1)*(ACR!C2:C57="Supports"))</f>
        <v>9</v>
      </c>
      <c r="D65" s="95">
        <f>+Impact[[#This Row],[Criteria Supported]]/Impact[[#This Row],[Total Criteria]]</f>
        <v>1</v>
      </c>
      <c r="E65" s="93" t="str">
        <f t="shared" si="5"/>
        <v>Supported</v>
      </c>
    </row>
    <row r="66" spans="1:5" x14ac:dyDescent="0.2">
      <c r="A66" s="93" t="s">
        <v>135</v>
      </c>
      <c r="B66" s="94" cm="1">
        <f t="array" ref="B66">SUMPRODUCT(('List by Impact'!F2:F57)*(ACR!G2:G57))</f>
        <v>15</v>
      </c>
      <c r="C66" s="94" cm="1">
        <f t="array" ref="C66">SUMPRODUCT(('List by Impact'!F2:F57=1)*(ACR!G2:G57=1)*(ACR!C2:C57="Supports"))</f>
        <v>15</v>
      </c>
      <c r="D66" s="95">
        <f>+Impact[[#This Row],[Criteria Supported]]/Impact[[#This Row],[Total Criteria]]</f>
        <v>1</v>
      </c>
      <c r="E66" s="93" t="str">
        <f t="shared" si="5"/>
        <v>Supported</v>
      </c>
    </row>
    <row r="67" spans="1:5" x14ac:dyDescent="0.2">
      <c r="A67" s="93" t="s">
        <v>136</v>
      </c>
      <c r="B67" s="94" cm="1">
        <f t="array" ref="B67">SUMPRODUCT(('List by Impact'!D2:D57)*(ACR!G2:G57))</f>
        <v>39</v>
      </c>
      <c r="C67" s="94" cm="1">
        <f t="array" ref="C67">SUMPRODUCT(('List by Impact'!D2:D57=1)*(ACR!G2:G57=1)*(ACR!C2:C57="Supports"))</f>
        <v>39</v>
      </c>
      <c r="D67" s="95">
        <f>+Impact[[#This Row],[Criteria Supported]]/Impact[[#This Row],[Total Criteria]]</f>
        <v>1</v>
      </c>
      <c r="E67" s="93" t="str">
        <f t="shared" si="5"/>
        <v>Supported</v>
      </c>
    </row>
    <row r="68" spans="1:5" x14ac:dyDescent="0.2">
      <c r="A68" s="96" t="s">
        <v>137</v>
      </c>
      <c r="B68" s="94" cm="1">
        <f t="array" ref="B68">SUMPRODUCT(('List by Impact'!J2:J57)*(ACR!G2:G57))</f>
        <v>3</v>
      </c>
      <c r="C68" s="97" cm="1">
        <f t="array" ref="C68">SUMPRODUCT(('List by Impact'!J2:J57=1)*(ACR!G2:G57=1)*(ACR!C2:C57="Supports"))</f>
        <v>3</v>
      </c>
      <c r="D68" s="98">
        <f>+Impact[[#This Row],[Criteria Supported]]/Impact[[#This Row],[Total Criteria]]</f>
        <v>1</v>
      </c>
      <c r="E68" s="96" t="str">
        <f t="shared" si="5"/>
        <v>Supported</v>
      </c>
    </row>
    <row r="69" spans="1:5" ht="76" x14ac:dyDescent="0.2">
      <c r="A69" s="99" t="s">
        <v>138</v>
      </c>
      <c r="B69" s="84"/>
      <c r="C69" s="84"/>
      <c r="D69" s="84"/>
      <c r="E69" s="84"/>
    </row>
  </sheetData>
  <mergeCells count="1">
    <mergeCell ref="A1:B1"/>
  </mergeCells>
  <conditionalFormatting sqref="B18">
    <cfRule type="cellIs" dxfId="3" priority="6" operator="equal">
      <formula>"No"</formula>
    </cfRule>
    <cfRule type="containsText" dxfId="2" priority="7" stopIfTrue="1" operator="containsText" text="Yes">
      <formula>NOT(ISERROR(SEARCH("Yes",B18)))</formula>
    </cfRule>
  </conditionalFormatting>
  <conditionalFormatting sqref="B22:B23">
    <cfRule type="containsText" dxfId="1" priority="5" operator="containsText" text="Low">
      <formula>NOT(ISERROR(SEARCH("Low",B22)))</formula>
    </cfRule>
  </conditionalFormatting>
  <conditionalFormatting sqref="C13">
    <cfRule type="containsText" dxfId="0" priority="4" operator="containsText" text="CAUTION">
      <formula>NOT(ISERROR(SEARCH("CAUTION",C13)))</formula>
    </cfRule>
  </conditionalFormatting>
  <dataValidations count="3">
    <dataValidation type="list" showInputMessage="1" showErrorMessage="1" sqref="B14" xr:uid="{246A18FD-6ED7-8841-8FE7-142CE5C4B7E1}">
      <formula1>"Yes, No"</formula1>
    </dataValidation>
    <dataValidation type="list" allowBlank="1" showInputMessage="1" showErrorMessage="1" sqref="B18 B21 B23" xr:uid="{50AE22BA-F79D-FF41-B9A7-945D195FE00E}">
      <formula1>"Yes, No"</formula1>
    </dataValidation>
    <dataValidation type="list" allowBlank="1" showInputMessage="1" showErrorMessage="1" sqref="B22" xr:uid="{FDAED2FF-AD1C-A543-ADD5-A124EAA68047}">
      <formula1>"High, Medium, Low"</formula1>
    </dataValidation>
  </dataValidations>
  <pageMargins left="0.7" right="0.7" top="0.75" bottom="0.75" header="0.3" footer="0.3"/>
  <ignoredErrors>
    <ignoredError sqref="B27:B28 B30:D30 C27:C28 D27:D28" calculatedColumn="1"/>
  </ignoredErrors>
  <tableParts count="7">
    <tablePart r:id="rId1"/>
    <tablePart r:id="rId2"/>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8E6A0-D145-2D43-BD29-12202ECF2845}">
  <dimension ref="A1:M62"/>
  <sheetViews>
    <sheetView tabSelected="1" topLeftCell="A38" workbookViewId="0">
      <selection activeCell="B57" sqref="B57"/>
    </sheetView>
  </sheetViews>
  <sheetFormatPr baseColWidth="10" defaultColWidth="11.5703125" defaultRowHeight="16" x14ac:dyDescent="0.2"/>
  <cols>
    <col min="1" max="1" width="61.7109375" style="21" customWidth="1"/>
    <col min="2" max="2" width="20.7109375" customWidth="1"/>
    <col min="3" max="3" width="20.7109375" style="51" customWidth="1"/>
    <col min="4" max="4" width="19.7109375" style="10" customWidth="1"/>
    <col min="5" max="5" width="43.7109375" style="10" customWidth="1"/>
    <col min="6" max="8" width="9" style="10" customWidth="1"/>
    <col min="9" max="10" width="15.28515625" customWidth="1"/>
    <col min="11" max="11" width="14.28515625" customWidth="1"/>
    <col min="12" max="13" width="15.28515625" customWidth="1"/>
  </cols>
  <sheetData>
    <row r="1" spans="1:13" s="58" customFormat="1" ht="57" x14ac:dyDescent="0.2">
      <c r="A1" s="128" t="s">
        <v>139</v>
      </c>
      <c r="B1" s="129" t="s">
        <v>140</v>
      </c>
      <c r="C1" s="130" t="s">
        <v>24</v>
      </c>
      <c r="D1" s="131" t="s">
        <v>141</v>
      </c>
      <c r="E1" s="131" t="s">
        <v>142</v>
      </c>
      <c r="F1" s="132" t="s">
        <v>143</v>
      </c>
      <c r="G1" s="132" t="s">
        <v>144</v>
      </c>
      <c r="H1" s="132" t="s">
        <v>145</v>
      </c>
      <c r="I1" s="57"/>
      <c r="J1" s="57"/>
      <c r="K1" s="57"/>
      <c r="L1" s="57"/>
      <c r="M1" s="57"/>
    </row>
    <row r="2" spans="1:13" ht="17" x14ac:dyDescent="0.2">
      <c r="A2" s="59" t="s">
        <v>146</v>
      </c>
      <c r="B2" s="60" t="s">
        <v>147</v>
      </c>
      <c r="C2" s="51" t="s">
        <v>91</v>
      </c>
      <c r="D2" s="61" t="s">
        <v>148</v>
      </c>
      <c r="E2" s="62"/>
      <c r="F2" s="61">
        <v>1</v>
      </c>
      <c r="G2" s="61">
        <v>1</v>
      </c>
      <c r="H2" s="61">
        <v>1</v>
      </c>
      <c r="I2" s="58"/>
      <c r="J2" s="58"/>
      <c r="K2" s="58"/>
      <c r="L2" s="58"/>
      <c r="M2" s="58"/>
    </row>
    <row r="3" spans="1:13" ht="17" x14ac:dyDescent="0.2">
      <c r="A3" s="14" t="s">
        <v>149</v>
      </c>
      <c r="B3" s="60" t="s">
        <v>150</v>
      </c>
      <c r="C3" s="51" t="s">
        <v>91</v>
      </c>
      <c r="D3" s="61" t="s">
        <v>148</v>
      </c>
      <c r="E3" s="62"/>
      <c r="F3" s="61">
        <v>1</v>
      </c>
      <c r="G3" s="61">
        <v>1</v>
      </c>
      <c r="H3" s="61">
        <v>1</v>
      </c>
      <c r="I3" s="58"/>
      <c r="J3" s="58"/>
      <c r="K3" s="58"/>
      <c r="L3" s="58"/>
      <c r="M3" s="58"/>
    </row>
    <row r="4" spans="1:13" ht="17" x14ac:dyDescent="0.2">
      <c r="A4" s="14" t="s">
        <v>151</v>
      </c>
      <c r="B4" s="60" t="s">
        <v>147</v>
      </c>
      <c r="C4" s="51" t="s">
        <v>91</v>
      </c>
      <c r="D4" s="61" t="s">
        <v>148</v>
      </c>
      <c r="E4" s="62"/>
      <c r="F4" s="61">
        <v>1</v>
      </c>
      <c r="G4" s="61">
        <v>1</v>
      </c>
      <c r="H4" s="61">
        <v>1</v>
      </c>
      <c r="I4" s="58"/>
      <c r="J4" s="58"/>
      <c r="K4" s="58"/>
      <c r="L4" s="58"/>
      <c r="M4" s="58"/>
    </row>
    <row r="5" spans="1:13" ht="17" x14ac:dyDescent="0.2">
      <c r="A5" s="14" t="s">
        <v>152</v>
      </c>
      <c r="B5" s="60" t="s">
        <v>150</v>
      </c>
      <c r="C5" s="51" t="s">
        <v>91</v>
      </c>
      <c r="D5" s="61" t="s">
        <v>148</v>
      </c>
      <c r="E5" s="62"/>
      <c r="F5" s="61">
        <v>1</v>
      </c>
      <c r="G5" s="61">
        <v>1</v>
      </c>
      <c r="H5" s="61">
        <v>1</v>
      </c>
      <c r="I5" s="58"/>
      <c r="J5" s="58"/>
      <c r="K5" s="58"/>
      <c r="L5" s="58"/>
      <c r="M5" s="63"/>
    </row>
    <row r="6" spans="1:13" ht="17" x14ac:dyDescent="0.2">
      <c r="A6" s="14" t="s">
        <v>153</v>
      </c>
      <c r="B6" s="60" t="s">
        <v>147</v>
      </c>
      <c r="C6" s="51" t="s">
        <v>91</v>
      </c>
      <c r="D6" s="61" t="s">
        <v>148</v>
      </c>
      <c r="E6" s="62"/>
      <c r="F6" s="61">
        <v>1</v>
      </c>
      <c r="G6" s="61">
        <v>1</v>
      </c>
      <c r="H6" s="61">
        <v>1</v>
      </c>
      <c r="I6" s="58"/>
      <c r="J6" s="58"/>
      <c r="K6" s="58"/>
      <c r="L6" s="58"/>
      <c r="M6" s="58"/>
    </row>
    <row r="7" spans="1:13" ht="17" x14ac:dyDescent="0.2">
      <c r="A7" s="14" t="s">
        <v>154</v>
      </c>
      <c r="B7" s="60" t="s">
        <v>147</v>
      </c>
      <c r="C7" s="51" t="s">
        <v>91</v>
      </c>
      <c r="D7" s="61" t="s">
        <v>155</v>
      </c>
      <c r="E7" s="62"/>
      <c r="F7" s="64">
        <v>1</v>
      </c>
      <c r="G7" s="64">
        <v>1</v>
      </c>
      <c r="H7" s="65">
        <v>1</v>
      </c>
      <c r="I7" s="58"/>
      <c r="J7" s="58"/>
      <c r="K7" s="58"/>
      <c r="L7" s="58"/>
      <c r="M7" s="58"/>
    </row>
    <row r="8" spans="1:13" ht="17" x14ac:dyDescent="0.2">
      <c r="A8" s="14" t="s">
        <v>156</v>
      </c>
      <c r="B8" s="60" t="s">
        <v>94</v>
      </c>
      <c r="C8" s="51" t="s">
        <v>91</v>
      </c>
      <c r="D8" s="61" t="s">
        <v>155</v>
      </c>
      <c r="E8" s="62"/>
      <c r="F8" s="64">
        <v>1</v>
      </c>
      <c r="G8" s="64">
        <v>1</v>
      </c>
      <c r="H8" s="65">
        <v>1</v>
      </c>
      <c r="I8" s="58"/>
      <c r="J8" s="58"/>
      <c r="K8" s="58"/>
      <c r="L8" s="58"/>
      <c r="M8" s="58"/>
    </row>
    <row r="9" spans="1:13" ht="17" x14ac:dyDescent="0.2">
      <c r="A9" s="14" t="s">
        <v>157</v>
      </c>
      <c r="B9" s="60" t="s">
        <v>147</v>
      </c>
      <c r="C9" s="51" t="s">
        <v>91</v>
      </c>
      <c r="D9" s="61" t="s">
        <v>148</v>
      </c>
      <c r="E9" s="62"/>
      <c r="F9" s="64">
        <v>1</v>
      </c>
      <c r="G9" s="64">
        <v>1</v>
      </c>
      <c r="H9" s="65">
        <v>1</v>
      </c>
      <c r="I9" s="58"/>
      <c r="J9" s="58"/>
      <c r="K9" s="58"/>
      <c r="L9" s="58"/>
      <c r="M9" s="58"/>
    </row>
    <row r="10" spans="1:13" ht="17" x14ac:dyDescent="0.2">
      <c r="A10" s="14" t="s">
        <v>158</v>
      </c>
      <c r="B10" s="60" t="s">
        <v>150</v>
      </c>
      <c r="C10" s="51" t="s">
        <v>91</v>
      </c>
      <c r="D10" s="61" t="s">
        <v>148</v>
      </c>
      <c r="E10" s="62"/>
      <c r="F10" s="64">
        <v>1</v>
      </c>
      <c r="G10" s="64">
        <v>1</v>
      </c>
      <c r="H10" s="65">
        <v>1</v>
      </c>
      <c r="I10" s="58"/>
      <c r="J10" s="58"/>
      <c r="K10" s="58"/>
      <c r="L10" s="58"/>
      <c r="M10" s="58"/>
    </row>
    <row r="11" spans="1:13" ht="17" x14ac:dyDescent="0.2">
      <c r="A11" s="14" t="s">
        <v>159</v>
      </c>
      <c r="B11" s="60" t="s">
        <v>147</v>
      </c>
      <c r="C11" s="51" t="s">
        <v>91</v>
      </c>
      <c r="D11" s="61" t="s">
        <v>148</v>
      </c>
      <c r="E11" s="62"/>
      <c r="F11" s="64">
        <v>1</v>
      </c>
      <c r="G11" s="64">
        <v>1</v>
      </c>
      <c r="H11" s="65">
        <v>1</v>
      </c>
      <c r="I11" s="58"/>
      <c r="J11" s="58"/>
      <c r="K11" s="58"/>
      <c r="L11" s="58"/>
      <c r="M11" s="58"/>
    </row>
    <row r="12" spans="1:13" ht="17" x14ac:dyDescent="0.2">
      <c r="A12" s="14" t="s">
        <v>160</v>
      </c>
      <c r="B12" s="60" t="s">
        <v>147</v>
      </c>
      <c r="C12" s="51" t="s">
        <v>91</v>
      </c>
      <c r="D12" s="61" t="s">
        <v>155</v>
      </c>
      <c r="E12" s="62"/>
      <c r="F12" s="64">
        <v>1</v>
      </c>
      <c r="G12" s="64">
        <v>1</v>
      </c>
      <c r="H12" s="65">
        <v>1</v>
      </c>
      <c r="I12" s="58"/>
      <c r="J12" s="58"/>
      <c r="K12" s="58"/>
      <c r="L12" s="58"/>
      <c r="M12" s="58"/>
    </row>
    <row r="13" spans="1:13" ht="17" x14ac:dyDescent="0.2">
      <c r="A13" s="14" t="s">
        <v>161</v>
      </c>
      <c r="B13" s="60" t="s">
        <v>94</v>
      </c>
      <c r="C13" s="51" t="s">
        <v>91</v>
      </c>
      <c r="D13" s="61" t="s">
        <v>155</v>
      </c>
      <c r="E13" s="62"/>
      <c r="F13" s="61">
        <v>0</v>
      </c>
      <c r="G13" s="61">
        <v>1</v>
      </c>
      <c r="H13" s="61">
        <v>1</v>
      </c>
      <c r="I13" s="58"/>
      <c r="J13" s="58"/>
      <c r="K13" s="58"/>
      <c r="L13" s="58"/>
      <c r="M13" s="58"/>
    </row>
    <row r="14" spans="1:13" ht="17" x14ac:dyDescent="0.2">
      <c r="A14" s="14" t="s">
        <v>162</v>
      </c>
      <c r="B14" s="60" t="s">
        <v>150</v>
      </c>
      <c r="C14" s="51" t="s">
        <v>91</v>
      </c>
      <c r="D14" s="61" t="s">
        <v>148</v>
      </c>
      <c r="E14" s="62"/>
      <c r="F14" s="64">
        <v>1</v>
      </c>
      <c r="G14" s="64">
        <v>1</v>
      </c>
      <c r="H14" s="65">
        <v>1</v>
      </c>
      <c r="I14" s="58"/>
      <c r="J14" s="58"/>
      <c r="K14" s="58"/>
      <c r="L14" s="58"/>
      <c r="M14" s="58"/>
    </row>
    <row r="15" spans="1:13" ht="17" x14ac:dyDescent="0.2">
      <c r="A15" s="14" t="s">
        <v>163</v>
      </c>
      <c r="B15" s="60" t="s">
        <v>94</v>
      </c>
      <c r="C15" s="51" t="s">
        <v>91</v>
      </c>
      <c r="D15" s="61" t="s">
        <v>155</v>
      </c>
      <c r="E15" s="62"/>
      <c r="F15" s="64">
        <v>1</v>
      </c>
      <c r="G15" s="64">
        <v>1</v>
      </c>
      <c r="H15" s="65">
        <v>1</v>
      </c>
      <c r="I15" s="58"/>
      <c r="J15" s="58"/>
      <c r="K15" s="66"/>
      <c r="L15" s="58"/>
      <c r="M15" s="58"/>
    </row>
    <row r="16" spans="1:13" ht="17" x14ac:dyDescent="0.2">
      <c r="A16" s="14" t="s">
        <v>164</v>
      </c>
      <c r="B16" s="60" t="s">
        <v>147</v>
      </c>
      <c r="C16" s="51" t="s">
        <v>91</v>
      </c>
      <c r="D16" s="61" t="s">
        <v>155</v>
      </c>
      <c r="E16" s="62"/>
      <c r="F16" s="64">
        <v>1</v>
      </c>
      <c r="G16" s="64">
        <v>1</v>
      </c>
      <c r="H16" s="65">
        <v>1</v>
      </c>
      <c r="I16" s="58"/>
      <c r="J16" s="58"/>
      <c r="K16" s="58"/>
      <c r="L16" s="58"/>
      <c r="M16" s="58"/>
    </row>
    <row r="17" spans="1:13" ht="17" x14ac:dyDescent="0.2">
      <c r="A17" s="14" t="s">
        <v>165</v>
      </c>
      <c r="B17" s="60" t="s">
        <v>147</v>
      </c>
      <c r="C17" s="51" t="s">
        <v>91</v>
      </c>
      <c r="D17" s="61" t="s">
        <v>155</v>
      </c>
      <c r="E17" s="62"/>
      <c r="F17" s="64">
        <v>1</v>
      </c>
      <c r="G17" s="64">
        <v>1</v>
      </c>
      <c r="H17" s="65">
        <v>1</v>
      </c>
      <c r="I17" s="58"/>
      <c r="J17" s="58"/>
      <c r="K17" s="58"/>
      <c r="L17" s="58"/>
      <c r="M17" s="58"/>
    </row>
    <row r="18" spans="1:13" ht="17" x14ac:dyDescent="0.2">
      <c r="A18" s="14" t="s">
        <v>166</v>
      </c>
      <c r="B18" s="60" t="s">
        <v>94</v>
      </c>
      <c r="C18" s="51" t="s">
        <v>91</v>
      </c>
      <c r="D18" s="61" t="s">
        <v>148</v>
      </c>
      <c r="E18" s="62"/>
      <c r="F18" s="64">
        <v>1</v>
      </c>
      <c r="G18" s="64">
        <v>1</v>
      </c>
      <c r="H18" s="65">
        <v>1</v>
      </c>
      <c r="I18" s="58"/>
      <c r="J18" s="58"/>
      <c r="K18" s="58"/>
      <c r="L18" s="58"/>
      <c r="M18" s="58"/>
    </row>
    <row r="19" spans="1:13" ht="17" x14ac:dyDescent="0.2">
      <c r="A19" s="14" t="s">
        <v>167</v>
      </c>
      <c r="B19" s="60" t="s">
        <v>147</v>
      </c>
      <c r="C19" s="51" t="s">
        <v>91</v>
      </c>
      <c r="D19" s="61" t="s">
        <v>155</v>
      </c>
      <c r="E19" s="62"/>
      <c r="F19" s="64">
        <v>1</v>
      </c>
      <c r="G19" s="64">
        <v>1</v>
      </c>
      <c r="H19" s="65">
        <v>1</v>
      </c>
      <c r="I19" s="58"/>
      <c r="J19" s="58"/>
      <c r="K19" s="58"/>
      <c r="L19" s="58"/>
      <c r="M19" s="58"/>
    </row>
    <row r="20" spans="1:13" ht="17" x14ac:dyDescent="0.2">
      <c r="A20" s="14" t="s">
        <v>168</v>
      </c>
      <c r="B20" s="60" t="s">
        <v>147</v>
      </c>
      <c r="C20" s="51" t="s">
        <v>91</v>
      </c>
      <c r="D20" s="61" t="s">
        <v>148</v>
      </c>
      <c r="E20" s="62"/>
      <c r="F20" s="61">
        <v>0</v>
      </c>
      <c r="G20" s="61">
        <v>1</v>
      </c>
      <c r="H20" s="61">
        <v>1</v>
      </c>
      <c r="I20" s="58"/>
      <c r="J20" s="58"/>
      <c r="K20" s="58"/>
      <c r="L20" s="58"/>
      <c r="M20" s="58"/>
    </row>
    <row r="21" spans="1:13" ht="17" x14ac:dyDescent="0.2">
      <c r="A21" s="14" t="s">
        <v>169</v>
      </c>
      <c r="B21" s="60" t="s">
        <v>94</v>
      </c>
      <c r="C21" s="51" t="s">
        <v>91</v>
      </c>
      <c r="D21" s="61" t="s">
        <v>155</v>
      </c>
      <c r="E21" s="62"/>
      <c r="F21" s="61">
        <v>0</v>
      </c>
      <c r="G21" s="61">
        <v>1</v>
      </c>
      <c r="H21" s="61">
        <v>1</v>
      </c>
      <c r="I21" s="58"/>
      <c r="J21" s="58"/>
      <c r="K21" s="58"/>
      <c r="L21" s="58"/>
      <c r="M21" s="58"/>
    </row>
    <row r="22" spans="1:13" ht="17" x14ac:dyDescent="0.2">
      <c r="A22" s="14" t="s">
        <v>170</v>
      </c>
      <c r="B22" s="60" t="s">
        <v>94</v>
      </c>
      <c r="C22" s="51" t="s">
        <v>91</v>
      </c>
      <c r="D22" s="61" t="s">
        <v>155</v>
      </c>
      <c r="E22" s="62"/>
      <c r="F22" s="61">
        <v>0</v>
      </c>
      <c r="G22" s="61">
        <v>1</v>
      </c>
      <c r="H22" s="61">
        <v>1</v>
      </c>
      <c r="I22" s="58"/>
      <c r="J22" s="58"/>
      <c r="K22" s="58"/>
      <c r="L22" s="58"/>
      <c r="M22" s="58"/>
    </row>
    <row r="23" spans="1:13" ht="17" x14ac:dyDescent="0.2">
      <c r="A23" s="14" t="s">
        <v>171</v>
      </c>
      <c r="B23" s="60" t="s">
        <v>94</v>
      </c>
      <c r="C23" s="51" t="s">
        <v>91</v>
      </c>
      <c r="D23" s="61" t="s">
        <v>148</v>
      </c>
      <c r="E23" s="62"/>
      <c r="F23" s="61">
        <v>0</v>
      </c>
      <c r="G23" s="61">
        <v>1</v>
      </c>
      <c r="H23" s="61">
        <v>1</v>
      </c>
      <c r="I23" s="58"/>
      <c r="J23" s="58"/>
      <c r="K23" s="58"/>
      <c r="L23" s="58"/>
      <c r="M23" s="58"/>
    </row>
    <row r="24" spans="1:13" ht="17" x14ac:dyDescent="0.2">
      <c r="A24" s="14" t="s">
        <v>172</v>
      </c>
      <c r="B24" s="60" t="s">
        <v>94</v>
      </c>
      <c r="C24" s="51" t="s">
        <v>91</v>
      </c>
      <c r="D24" s="61" t="s">
        <v>155</v>
      </c>
      <c r="E24" s="62"/>
      <c r="F24" s="64">
        <v>1</v>
      </c>
      <c r="G24" s="64">
        <v>1</v>
      </c>
      <c r="H24" s="65">
        <v>1</v>
      </c>
      <c r="I24" s="58"/>
      <c r="J24" s="58"/>
      <c r="K24" s="58"/>
      <c r="L24" s="58"/>
      <c r="M24" s="58"/>
    </row>
    <row r="25" spans="1:13" ht="17" x14ac:dyDescent="0.2">
      <c r="A25" s="14" t="s">
        <v>173</v>
      </c>
      <c r="B25" s="60" t="s">
        <v>94</v>
      </c>
      <c r="C25" s="51" t="s">
        <v>91</v>
      </c>
      <c r="D25" s="61" t="s">
        <v>148</v>
      </c>
      <c r="E25" s="62"/>
      <c r="F25" s="64">
        <v>1</v>
      </c>
      <c r="G25" s="64">
        <v>1</v>
      </c>
      <c r="H25" s="65">
        <v>1</v>
      </c>
      <c r="I25" s="58"/>
      <c r="J25" s="58"/>
      <c r="K25" s="58"/>
      <c r="L25" s="58"/>
      <c r="M25" s="58"/>
    </row>
    <row r="26" spans="1:13" ht="17" x14ac:dyDescent="0.2">
      <c r="A26" s="14" t="s">
        <v>174</v>
      </c>
      <c r="B26" s="60" t="s">
        <v>150</v>
      </c>
      <c r="C26" s="51" t="s">
        <v>91</v>
      </c>
      <c r="D26" s="61" t="s">
        <v>155</v>
      </c>
      <c r="E26" s="62"/>
      <c r="F26" s="64">
        <v>1</v>
      </c>
      <c r="G26" s="64">
        <v>1</v>
      </c>
      <c r="H26" s="65">
        <v>1</v>
      </c>
      <c r="I26" s="58"/>
      <c r="J26" s="58"/>
      <c r="K26" s="58"/>
      <c r="L26" s="58"/>
      <c r="M26" s="58"/>
    </row>
    <row r="27" spans="1:13" ht="17" x14ac:dyDescent="0.2">
      <c r="A27" s="14" t="s">
        <v>175</v>
      </c>
      <c r="B27" s="60" t="s">
        <v>150</v>
      </c>
      <c r="C27" s="51" t="s">
        <v>91</v>
      </c>
      <c r="D27" s="61" t="s">
        <v>155</v>
      </c>
      <c r="E27" s="62"/>
      <c r="F27" s="64">
        <v>1</v>
      </c>
      <c r="G27" s="64">
        <v>1</v>
      </c>
      <c r="H27" s="65">
        <v>1</v>
      </c>
      <c r="I27" s="58"/>
      <c r="J27" s="58"/>
      <c r="K27" s="58"/>
      <c r="L27" s="58"/>
      <c r="M27" s="58"/>
    </row>
    <row r="28" spans="1:13" ht="17" x14ac:dyDescent="0.2">
      <c r="A28" s="15" t="s">
        <v>176</v>
      </c>
      <c r="B28" s="60" t="s">
        <v>150</v>
      </c>
      <c r="C28" s="51" t="s">
        <v>91</v>
      </c>
      <c r="D28" s="61" t="s">
        <v>155</v>
      </c>
      <c r="E28" s="67" t="s">
        <v>177</v>
      </c>
      <c r="F28" s="61">
        <v>0</v>
      </c>
      <c r="G28" s="61">
        <v>0</v>
      </c>
      <c r="H28" s="61">
        <v>1</v>
      </c>
      <c r="I28" s="58"/>
      <c r="J28" s="58"/>
      <c r="K28" s="58"/>
      <c r="L28" s="58"/>
      <c r="M28" s="58"/>
    </row>
    <row r="29" spans="1:13" ht="17" x14ac:dyDescent="0.2">
      <c r="A29" s="14" t="s">
        <v>178</v>
      </c>
      <c r="B29" s="60" t="s">
        <v>150</v>
      </c>
      <c r="C29" s="51" t="s">
        <v>91</v>
      </c>
      <c r="D29" s="61" t="s">
        <v>155</v>
      </c>
      <c r="E29" s="62"/>
      <c r="F29" s="64">
        <v>1</v>
      </c>
      <c r="G29" s="64">
        <v>1</v>
      </c>
      <c r="H29" s="65">
        <v>1</v>
      </c>
      <c r="I29" s="58"/>
      <c r="J29" s="58"/>
      <c r="K29" s="58"/>
      <c r="L29" s="58"/>
      <c r="M29" s="58"/>
    </row>
    <row r="30" spans="1:13" ht="17" x14ac:dyDescent="0.2">
      <c r="A30" s="14" t="s">
        <v>179</v>
      </c>
      <c r="B30" s="60" t="s">
        <v>150</v>
      </c>
      <c r="C30" s="51" t="s">
        <v>91</v>
      </c>
      <c r="D30" s="61" t="s">
        <v>155</v>
      </c>
      <c r="E30" s="62"/>
      <c r="F30" s="64">
        <v>1</v>
      </c>
      <c r="G30" s="64">
        <v>1</v>
      </c>
      <c r="H30" s="65">
        <v>1</v>
      </c>
      <c r="I30" s="58"/>
      <c r="J30" s="58"/>
      <c r="K30" s="58"/>
      <c r="L30" s="58"/>
      <c r="M30" s="58"/>
    </row>
    <row r="31" spans="1:13" ht="17" x14ac:dyDescent="0.2">
      <c r="A31" s="68" t="s">
        <v>180</v>
      </c>
      <c r="B31" s="60" t="s">
        <v>150</v>
      </c>
      <c r="C31" s="51" t="s">
        <v>91</v>
      </c>
      <c r="D31" s="61" t="s">
        <v>155</v>
      </c>
      <c r="E31" s="67" t="s">
        <v>177</v>
      </c>
      <c r="F31" s="61">
        <v>0</v>
      </c>
      <c r="G31" s="61">
        <v>0</v>
      </c>
      <c r="H31" s="61">
        <v>1</v>
      </c>
      <c r="I31" s="58"/>
      <c r="J31" s="58"/>
      <c r="K31" s="58"/>
      <c r="L31" s="58"/>
      <c r="M31" s="58"/>
    </row>
    <row r="32" spans="1:13" ht="34" x14ac:dyDescent="0.2">
      <c r="A32" s="69" t="s">
        <v>181</v>
      </c>
      <c r="B32" s="70" t="s">
        <v>94</v>
      </c>
      <c r="C32" s="51" t="s">
        <v>91</v>
      </c>
      <c r="D32" s="71" t="s">
        <v>148</v>
      </c>
      <c r="E32" s="62" t="s">
        <v>182</v>
      </c>
      <c r="F32" s="61">
        <v>1</v>
      </c>
      <c r="G32" s="61">
        <v>1</v>
      </c>
      <c r="H32" s="61">
        <v>1</v>
      </c>
      <c r="I32" s="58"/>
      <c r="J32" s="58"/>
      <c r="K32" s="58"/>
      <c r="L32" s="58"/>
      <c r="M32" s="58"/>
    </row>
    <row r="33" spans="1:13" ht="17" x14ac:dyDescent="0.2">
      <c r="A33" s="14" t="s">
        <v>183</v>
      </c>
      <c r="B33" s="60" t="s">
        <v>94</v>
      </c>
      <c r="C33" s="51" t="s">
        <v>91</v>
      </c>
      <c r="D33" s="61" t="s">
        <v>148</v>
      </c>
      <c r="E33" s="62"/>
      <c r="F33" s="64">
        <v>1</v>
      </c>
      <c r="G33" s="64">
        <v>1</v>
      </c>
      <c r="H33" s="65">
        <v>1</v>
      </c>
      <c r="I33" s="58"/>
      <c r="J33" s="58"/>
      <c r="K33" s="58"/>
      <c r="L33" s="58"/>
      <c r="M33" s="58"/>
    </row>
    <row r="34" spans="1:13" ht="17" x14ac:dyDescent="0.2">
      <c r="A34" s="14" t="s">
        <v>184</v>
      </c>
      <c r="B34" s="60" t="s">
        <v>147</v>
      </c>
      <c r="C34" s="51" t="s">
        <v>91</v>
      </c>
      <c r="D34" s="61" t="s">
        <v>155</v>
      </c>
      <c r="E34" s="62"/>
      <c r="F34" s="64">
        <v>1</v>
      </c>
      <c r="G34" s="64">
        <v>1</v>
      </c>
      <c r="H34" s="65">
        <v>1</v>
      </c>
      <c r="I34" s="58"/>
      <c r="J34" s="58"/>
      <c r="K34" s="58"/>
      <c r="L34" s="58"/>
      <c r="M34" s="58"/>
    </row>
    <row r="35" spans="1:13" ht="17" x14ac:dyDescent="0.2">
      <c r="A35" s="14" t="s">
        <v>185</v>
      </c>
      <c r="B35" s="60" t="s">
        <v>150</v>
      </c>
      <c r="C35" s="51" t="s">
        <v>91</v>
      </c>
      <c r="D35" s="61" t="s">
        <v>148</v>
      </c>
      <c r="E35" s="62"/>
      <c r="F35" s="64">
        <v>1</v>
      </c>
      <c r="G35" s="64">
        <v>1</v>
      </c>
      <c r="H35" s="65">
        <v>1</v>
      </c>
      <c r="I35" s="58"/>
      <c r="J35" s="58"/>
      <c r="K35" s="58"/>
      <c r="L35" s="58"/>
      <c r="M35" s="58"/>
    </row>
    <row r="36" spans="1:13" ht="17" x14ac:dyDescent="0.2">
      <c r="A36" s="14" t="s">
        <v>186</v>
      </c>
      <c r="B36" s="60" t="s">
        <v>94</v>
      </c>
      <c r="C36" s="51" t="s">
        <v>91</v>
      </c>
      <c r="D36" s="61" t="s">
        <v>148</v>
      </c>
      <c r="E36" s="62"/>
      <c r="F36" s="61">
        <v>0</v>
      </c>
      <c r="G36" s="61">
        <v>1</v>
      </c>
      <c r="H36" s="61">
        <v>1</v>
      </c>
      <c r="I36" s="58"/>
      <c r="J36" s="58"/>
      <c r="K36" s="58"/>
      <c r="L36" s="58"/>
      <c r="M36" s="58"/>
    </row>
    <row r="37" spans="1:13" ht="17" x14ac:dyDescent="0.2">
      <c r="A37" s="14" t="s">
        <v>187</v>
      </c>
      <c r="B37" s="60" t="s">
        <v>94</v>
      </c>
      <c r="C37" s="51" t="s">
        <v>91</v>
      </c>
      <c r="D37" s="61" t="s">
        <v>148</v>
      </c>
      <c r="E37" s="62"/>
      <c r="F37" s="61">
        <v>0</v>
      </c>
      <c r="G37" s="61">
        <v>1</v>
      </c>
      <c r="H37" s="61">
        <v>1</v>
      </c>
      <c r="I37" s="58"/>
      <c r="J37" s="58"/>
      <c r="K37" s="58"/>
      <c r="L37" s="58"/>
      <c r="M37" s="58"/>
    </row>
    <row r="38" spans="1:13" ht="17" x14ac:dyDescent="0.2">
      <c r="A38" s="14" t="s">
        <v>188</v>
      </c>
      <c r="B38" s="60" t="s">
        <v>147</v>
      </c>
      <c r="C38" s="51" t="s">
        <v>91</v>
      </c>
      <c r="D38" s="61" t="s">
        <v>148</v>
      </c>
      <c r="E38" s="62"/>
      <c r="F38" s="64">
        <v>1</v>
      </c>
      <c r="G38" s="64">
        <v>1</v>
      </c>
      <c r="H38" s="65">
        <v>1</v>
      </c>
      <c r="I38" s="58"/>
      <c r="J38" s="58"/>
      <c r="K38" s="58"/>
      <c r="L38" s="58"/>
      <c r="M38" s="58"/>
    </row>
    <row r="39" spans="1:13" ht="17" x14ac:dyDescent="0.2">
      <c r="A39" s="14" t="s">
        <v>189</v>
      </c>
      <c r="B39" s="60" t="s">
        <v>147</v>
      </c>
      <c r="C39" s="51" t="s">
        <v>91</v>
      </c>
      <c r="D39" s="61" t="s">
        <v>148</v>
      </c>
      <c r="E39" s="62"/>
      <c r="F39" s="64">
        <v>1</v>
      </c>
      <c r="G39" s="64">
        <v>1</v>
      </c>
      <c r="H39" s="65">
        <v>1</v>
      </c>
      <c r="I39" s="58"/>
      <c r="J39" s="58"/>
      <c r="K39" s="58"/>
      <c r="L39" s="58"/>
      <c r="M39" s="58"/>
    </row>
    <row r="40" spans="1:13" ht="17" x14ac:dyDescent="0.2">
      <c r="A40" s="14" t="s">
        <v>190</v>
      </c>
      <c r="B40" s="60" t="s">
        <v>150</v>
      </c>
      <c r="C40" s="51" t="s">
        <v>91</v>
      </c>
      <c r="D40" s="61" t="s">
        <v>155</v>
      </c>
      <c r="E40" s="62"/>
      <c r="F40" s="64">
        <v>1</v>
      </c>
      <c r="G40" s="64">
        <v>1</v>
      </c>
      <c r="H40" s="65">
        <v>1</v>
      </c>
      <c r="I40" s="58"/>
      <c r="J40" s="58"/>
      <c r="K40" s="58"/>
      <c r="L40" s="58"/>
      <c r="M40" s="58"/>
    </row>
    <row r="41" spans="1:13" ht="17" x14ac:dyDescent="0.2">
      <c r="A41" s="14" t="s">
        <v>191</v>
      </c>
      <c r="B41" s="60" t="s">
        <v>147</v>
      </c>
      <c r="C41" s="51" t="s">
        <v>91</v>
      </c>
      <c r="D41" s="61" t="s">
        <v>148</v>
      </c>
      <c r="E41" s="62"/>
      <c r="F41" s="61">
        <v>0</v>
      </c>
      <c r="G41" s="61">
        <v>1</v>
      </c>
      <c r="H41" s="61">
        <v>1</v>
      </c>
      <c r="I41" s="58"/>
      <c r="J41" s="58"/>
      <c r="K41" s="58"/>
      <c r="L41" s="58"/>
      <c r="M41" s="58"/>
    </row>
    <row r="42" spans="1:13" ht="17" x14ac:dyDescent="0.2">
      <c r="A42" s="14" t="s">
        <v>192</v>
      </c>
      <c r="B42" s="60" t="s">
        <v>150</v>
      </c>
      <c r="C42" s="51" t="s">
        <v>91</v>
      </c>
      <c r="D42" s="61" t="s">
        <v>155</v>
      </c>
      <c r="E42" s="62"/>
      <c r="F42" s="61">
        <v>0</v>
      </c>
      <c r="G42" s="61">
        <v>1</v>
      </c>
      <c r="H42" s="61">
        <v>1</v>
      </c>
      <c r="I42" s="58"/>
      <c r="J42" s="58"/>
      <c r="K42" s="58"/>
      <c r="L42" s="58"/>
      <c r="M42" s="58"/>
    </row>
    <row r="43" spans="1:13" ht="17" x14ac:dyDescent="0.2">
      <c r="A43" s="14" t="s">
        <v>193</v>
      </c>
      <c r="B43" s="60" t="s">
        <v>94</v>
      </c>
      <c r="C43" s="51" t="s">
        <v>91</v>
      </c>
      <c r="D43" s="61" t="s">
        <v>148</v>
      </c>
      <c r="E43" s="62"/>
      <c r="F43" s="61">
        <v>0</v>
      </c>
      <c r="G43" s="61">
        <v>1</v>
      </c>
      <c r="H43" s="61">
        <v>1</v>
      </c>
      <c r="I43" s="58"/>
      <c r="J43" s="58"/>
      <c r="K43" s="58"/>
      <c r="L43" s="58"/>
      <c r="M43" s="58"/>
    </row>
    <row r="44" spans="1:13" ht="17" x14ac:dyDescent="0.2">
      <c r="A44" s="14" t="s">
        <v>194</v>
      </c>
      <c r="B44" s="60" t="s">
        <v>94</v>
      </c>
      <c r="C44" s="51" t="s">
        <v>91</v>
      </c>
      <c r="D44" s="61" t="s">
        <v>155</v>
      </c>
      <c r="E44" s="62"/>
      <c r="F44" s="61">
        <v>0</v>
      </c>
      <c r="G44" s="61">
        <v>1</v>
      </c>
      <c r="H44" s="61">
        <v>1</v>
      </c>
      <c r="I44" s="58"/>
      <c r="J44" s="58"/>
      <c r="K44" s="58"/>
      <c r="L44" s="58"/>
      <c r="M44" s="58"/>
    </row>
    <row r="45" spans="1:13" ht="17" x14ac:dyDescent="0.2">
      <c r="A45" s="14" t="s">
        <v>195</v>
      </c>
      <c r="B45" s="60" t="s">
        <v>94</v>
      </c>
      <c r="C45" s="51" t="s">
        <v>91</v>
      </c>
      <c r="D45" s="61" t="s">
        <v>155</v>
      </c>
      <c r="E45" s="62"/>
      <c r="F45" s="64">
        <v>1</v>
      </c>
      <c r="G45" s="64">
        <v>1</v>
      </c>
      <c r="H45" s="65">
        <v>1</v>
      </c>
      <c r="I45" s="58"/>
      <c r="J45" s="58"/>
      <c r="K45" s="58"/>
      <c r="L45" s="58"/>
      <c r="M45" s="58"/>
    </row>
    <row r="46" spans="1:13" ht="17" x14ac:dyDescent="0.2">
      <c r="A46" s="14" t="s">
        <v>196</v>
      </c>
      <c r="B46" s="60" t="s">
        <v>147</v>
      </c>
      <c r="C46" s="51" t="s">
        <v>91</v>
      </c>
      <c r="D46" s="61" t="s">
        <v>155</v>
      </c>
      <c r="E46" s="62"/>
      <c r="F46" s="64">
        <v>1</v>
      </c>
      <c r="G46" s="64">
        <v>1</v>
      </c>
      <c r="H46" s="65">
        <v>1</v>
      </c>
      <c r="I46" s="58"/>
      <c r="J46" s="58"/>
      <c r="K46" s="58"/>
      <c r="L46" s="58"/>
      <c r="M46" s="58"/>
    </row>
    <row r="47" spans="1:13" ht="17" x14ac:dyDescent="0.2">
      <c r="A47" s="14" t="s">
        <v>197</v>
      </c>
      <c r="B47" s="60" t="s">
        <v>147</v>
      </c>
      <c r="C47" s="51" t="s">
        <v>91</v>
      </c>
      <c r="D47" s="61" t="s">
        <v>148</v>
      </c>
      <c r="E47" s="62"/>
      <c r="F47" s="64">
        <v>1</v>
      </c>
      <c r="G47" s="64">
        <v>1</v>
      </c>
      <c r="H47" s="65">
        <v>1</v>
      </c>
      <c r="I47" s="58"/>
      <c r="J47" s="58"/>
      <c r="K47" s="58"/>
      <c r="L47" s="58"/>
      <c r="M47" s="58"/>
    </row>
    <row r="48" spans="1:13" ht="17" x14ac:dyDescent="0.2">
      <c r="A48" s="16" t="s">
        <v>198</v>
      </c>
      <c r="B48" s="60" t="s">
        <v>94</v>
      </c>
      <c r="C48" s="51" t="s">
        <v>91</v>
      </c>
      <c r="D48" s="61" t="s">
        <v>155</v>
      </c>
      <c r="E48" s="67" t="s">
        <v>177</v>
      </c>
      <c r="F48" s="61">
        <v>0</v>
      </c>
      <c r="G48" s="61">
        <v>0</v>
      </c>
      <c r="H48" s="61">
        <v>1</v>
      </c>
      <c r="I48" s="58"/>
      <c r="J48" s="58"/>
      <c r="K48" s="58"/>
      <c r="L48" s="58"/>
      <c r="M48" s="58"/>
    </row>
    <row r="49" spans="1:13" ht="17" x14ac:dyDescent="0.2">
      <c r="A49" s="16" t="s">
        <v>199</v>
      </c>
      <c r="B49" s="60" t="s">
        <v>150</v>
      </c>
      <c r="C49" s="51" t="s">
        <v>91</v>
      </c>
      <c r="D49" s="61" t="s">
        <v>155</v>
      </c>
      <c r="E49" s="67" t="s">
        <v>177</v>
      </c>
      <c r="F49" s="61">
        <v>0</v>
      </c>
      <c r="G49" s="61">
        <v>0</v>
      </c>
      <c r="H49" s="61">
        <v>1</v>
      </c>
      <c r="I49" s="58"/>
      <c r="J49" s="58"/>
      <c r="K49" s="58"/>
      <c r="L49" s="58"/>
      <c r="M49" s="58"/>
    </row>
    <row r="50" spans="1:13" ht="17" x14ac:dyDescent="0.2">
      <c r="A50" s="16" t="s">
        <v>200</v>
      </c>
      <c r="B50" s="60" t="s">
        <v>147</v>
      </c>
      <c r="C50" s="51" t="s">
        <v>91</v>
      </c>
      <c r="D50" s="61" t="s">
        <v>148</v>
      </c>
      <c r="E50" s="67" t="s">
        <v>177</v>
      </c>
      <c r="F50" s="61">
        <v>0</v>
      </c>
      <c r="G50" s="61">
        <v>0</v>
      </c>
      <c r="H50" s="61">
        <v>1</v>
      </c>
      <c r="I50" s="58"/>
      <c r="J50" s="58"/>
      <c r="K50" s="58"/>
      <c r="L50" s="58"/>
      <c r="M50" s="58"/>
    </row>
    <row r="51" spans="1:13" ht="17" x14ac:dyDescent="0.2">
      <c r="A51" s="14" t="s">
        <v>201</v>
      </c>
      <c r="B51" s="60" t="s">
        <v>94</v>
      </c>
      <c r="C51" s="51" t="s">
        <v>91</v>
      </c>
      <c r="D51" s="61" t="s">
        <v>148</v>
      </c>
      <c r="E51" s="62"/>
      <c r="F51" s="64">
        <v>1</v>
      </c>
      <c r="G51" s="64">
        <v>1</v>
      </c>
      <c r="H51" s="65">
        <v>1</v>
      </c>
      <c r="I51" s="58"/>
      <c r="J51" s="58"/>
      <c r="K51" s="58"/>
      <c r="L51" s="58"/>
      <c r="M51" s="58"/>
    </row>
    <row r="52" spans="1:13" ht="17" x14ac:dyDescent="0.2">
      <c r="A52" s="14" t="s">
        <v>202</v>
      </c>
      <c r="B52" s="60" t="s">
        <v>94</v>
      </c>
      <c r="C52" s="51" t="s">
        <v>91</v>
      </c>
      <c r="D52" s="61" t="s">
        <v>155</v>
      </c>
      <c r="E52" s="62"/>
      <c r="F52" s="64">
        <v>1</v>
      </c>
      <c r="G52" s="64">
        <v>1</v>
      </c>
      <c r="H52" s="65">
        <v>1</v>
      </c>
      <c r="I52" s="58"/>
      <c r="J52" s="58"/>
      <c r="K52" s="58"/>
      <c r="L52" s="58"/>
      <c r="M52" s="58"/>
    </row>
    <row r="53" spans="1:13" ht="17" x14ac:dyDescent="0.2">
      <c r="A53" s="14" t="s">
        <v>203</v>
      </c>
      <c r="B53" s="60" t="s">
        <v>94</v>
      </c>
      <c r="C53" s="51" t="s">
        <v>91</v>
      </c>
      <c r="D53" s="61" t="s">
        <v>155</v>
      </c>
      <c r="E53" s="62"/>
      <c r="F53" s="64">
        <v>1</v>
      </c>
      <c r="G53" s="64">
        <v>1</v>
      </c>
      <c r="H53" s="65">
        <v>1</v>
      </c>
      <c r="I53" s="58"/>
      <c r="J53" s="58"/>
      <c r="K53" s="58"/>
      <c r="L53" s="58"/>
      <c r="M53" s="58"/>
    </row>
    <row r="54" spans="1:13" ht="17" x14ac:dyDescent="0.2">
      <c r="A54" s="14" t="s">
        <v>204</v>
      </c>
      <c r="B54" s="60" t="s">
        <v>94</v>
      </c>
      <c r="C54" s="51" t="s">
        <v>91</v>
      </c>
      <c r="D54" s="61" t="s">
        <v>155</v>
      </c>
      <c r="E54" s="62"/>
      <c r="F54" s="64">
        <v>1</v>
      </c>
      <c r="G54" s="64">
        <v>1</v>
      </c>
      <c r="H54" s="65">
        <v>1</v>
      </c>
      <c r="I54" s="58"/>
      <c r="J54" s="58"/>
      <c r="K54" s="58"/>
      <c r="L54" s="58"/>
      <c r="M54" s="58"/>
    </row>
    <row r="55" spans="1:13" ht="17" x14ac:dyDescent="0.2">
      <c r="A55" s="14" t="s">
        <v>205</v>
      </c>
      <c r="B55" s="60" t="s">
        <v>277</v>
      </c>
      <c r="C55" s="51" t="s">
        <v>91</v>
      </c>
      <c r="D55" s="61" t="s">
        <v>155</v>
      </c>
      <c r="E55" s="62"/>
      <c r="F55" s="64">
        <v>1</v>
      </c>
      <c r="G55" s="64">
        <v>1</v>
      </c>
      <c r="H55" s="65">
        <v>1</v>
      </c>
      <c r="I55" s="58"/>
      <c r="J55" s="58"/>
      <c r="K55" s="58"/>
      <c r="L55" s="58"/>
      <c r="M55" s="58"/>
    </row>
    <row r="56" spans="1:13" ht="17" x14ac:dyDescent="0.2">
      <c r="A56" s="16" t="s">
        <v>206</v>
      </c>
      <c r="B56" s="60" t="s">
        <v>278</v>
      </c>
      <c r="C56" s="51" t="s">
        <v>91</v>
      </c>
      <c r="D56" s="61" t="s">
        <v>148</v>
      </c>
      <c r="E56" s="67" t="s">
        <v>177</v>
      </c>
      <c r="F56" s="61">
        <v>0</v>
      </c>
      <c r="G56" s="61">
        <v>0</v>
      </c>
      <c r="H56" s="61">
        <v>1</v>
      </c>
      <c r="I56" s="58"/>
      <c r="J56" s="58"/>
      <c r="K56" s="58"/>
      <c r="L56" s="58"/>
      <c r="M56" s="58"/>
    </row>
    <row r="57" spans="1:13" ht="17" x14ac:dyDescent="0.2">
      <c r="A57" s="14" t="s">
        <v>207</v>
      </c>
      <c r="B57" s="60" t="s">
        <v>279</v>
      </c>
      <c r="C57" s="51" t="s">
        <v>91</v>
      </c>
      <c r="D57" s="72" t="s">
        <v>148</v>
      </c>
      <c r="E57" s="73"/>
      <c r="F57" s="72">
        <v>0</v>
      </c>
      <c r="G57" s="72">
        <v>1</v>
      </c>
      <c r="H57" s="72">
        <v>1</v>
      </c>
      <c r="I57" s="58"/>
      <c r="J57" s="58"/>
      <c r="K57" s="58"/>
      <c r="L57" s="58"/>
      <c r="M57" s="58"/>
    </row>
    <row r="58" spans="1:13" ht="17" x14ac:dyDescent="0.2">
      <c r="A58" s="74" t="s">
        <v>208</v>
      </c>
      <c r="B58" s="60"/>
      <c r="D58" s="61"/>
      <c r="E58" s="62"/>
      <c r="F58" s="75">
        <f>SUM(F2:F57)</f>
        <v>38</v>
      </c>
      <c r="G58" s="75">
        <f t="shared" ref="G58:H58" si="0">SUM(G2:G57)</f>
        <v>50</v>
      </c>
      <c r="H58" s="75">
        <f t="shared" si="0"/>
        <v>56</v>
      </c>
      <c r="I58" s="58"/>
      <c r="J58" s="58"/>
      <c r="K58" s="58"/>
      <c r="L58" s="58"/>
      <c r="M58" s="58"/>
    </row>
    <row r="59" spans="1:13" ht="51" x14ac:dyDescent="0.2">
      <c r="A59" s="14" t="s">
        <v>209</v>
      </c>
      <c r="B59" s="60"/>
      <c r="D59" s="76"/>
      <c r="E59" s="67"/>
      <c r="F59" s="61"/>
      <c r="G59" s="61"/>
      <c r="H59" s="61"/>
      <c r="I59" s="58"/>
      <c r="J59" s="58"/>
      <c r="K59" s="58"/>
      <c r="L59" s="58"/>
      <c r="M59" s="58"/>
    </row>
    <row r="60" spans="1:13" ht="32" customHeight="1" x14ac:dyDescent="0.2">
      <c r="A60" s="77"/>
      <c r="B60" s="78"/>
      <c r="D60" s="76"/>
      <c r="E60" s="76"/>
      <c r="F60" s="76"/>
      <c r="G60" s="79"/>
      <c r="H60" s="79"/>
      <c r="I60" s="58"/>
      <c r="J60" s="58"/>
      <c r="K60" s="58"/>
      <c r="L60" s="58"/>
      <c r="M60" s="58"/>
    </row>
    <row r="61" spans="1:13" ht="32" customHeight="1" x14ac:dyDescent="0.2">
      <c r="A61" s="77"/>
      <c r="B61" s="78"/>
      <c r="D61" s="76"/>
      <c r="E61" s="76"/>
      <c r="F61" s="76"/>
      <c r="G61" s="79"/>
      <c r="H61" s="79"/>
      <c r="I61" s="58"/>
      <c r="J61" s="58"/>
      <c r="K61" s="58"/>
      <c r="L61" s="58"/>
      <c r="M61" s="58"/>
    </row>
    <row r="62" spans="1:13" ht="32" customHeight="1" x14ac:dyDescent="0.2">
      <c r="A62" s="77"/>
      <c r="B62" s="78"/>
      <c r="D62" s="76"/>
      <c r="E62" s="76"/>
      <c r="F62" s="76"/>
      <c r="G62" s="79"/>
      <c r="H62" s="79"/>
      <c r="I62" s="58"/>
      <c r="J62" s="58"/>
      <c r="K62" s="58"/>
      <c r="L62" s="58"/>
      <c r="M62" s="58"/>
    </row>
  </sheetData>
  <dataValidations count="4">
    <dataValidation type="list" allowBlank="1" sqref="C2:C58" xr:uid="{28D978A6-A3F7-DA49-9BAE-A20E92912A77}">
      <formula1>"Does Not Support,Partially Supports,Supports"</formula1>
    </dataValidation>
    <dataValidation allowBlank="1" showInputMessage="1" showErrorMessage="1" sqref="B2:B57" xr:uid="{EFE7A9B5-7E15-6A4B-81E2-F38E22E34560}"/>
    <dataValidation type="list" allowBlank="1" showInputMessage="1" showErrorMessage="1" sqref="F2:F57" xr:uid="{1F2C96FB-92D6-464B-AB55-5557C9D4E603}">
      <formula1>"Automated, Manual"</formula1>
    </dataValidation>
    <dataValidation type="list" allowBlank="1" showInputMessage="1" showErrorMessage="1" sqref="B58:B59" xr:uid="{36A7FE4E-0B8E-6C43-8A27-AC6CC239E1F1}">
      <formula1>#REF!</formula1>
    </dataValidation>
  </dataValidations>
  <hyperlinks>
    <hyperlink ref="A2" r:id="rId1" location="text-equiv-all" display="http://www.w3.org/TR/WCAG20/ - text-equiv-all" xr:uid="{D4053690-ECAC-4145-80DD-D747E2CCDE3D}"/>
    <hyperlink ref="A3" r:id="rId2" location="media-equiv-av-only-alt" display="http://www.w3.org/TR/WCAG20/ - media-equiv-av-only-alt" xr:uid="{616572CE-B269-5E4A-B116-B67C6CB93C79}"/>
    <hyperlink ref="A4" r:id="rId3" location="media-equiv-captions" display="http://www.w3.org/TR/WCAG20/ - media-equiv-captions" xr:uid="{4304FBB4-D35D-584E-8F66-43BA0BC40B95}"/>
    <hyperlink ref="A5" r:id="rId4" location="media-equiv-audio-desc" display="http://www.w3.org/TR/WCAG20/ - media-equiv-audio-desc" xr:uid="{B046618F-41EF-8242-A832-93233BB9ECCE}"/>
    <hyperlink ref="A6" r:id="rId5" location="content-structure-separation-programmatic" display="http://www.w3.org/TR/WCAG20/ - content-structure-separation-programmatic" xr:uid="{92DE9307-938A-DF4C-93D9-27E3372186EE}"/>
    <hyperlink ref="A7" r:id="rId6" location="content-structure-separation-sequence" display="http://www.w3.org/TR/WCAG20/ - content-structure-separation-sequence" xr:uid="{333EAEEE-26DB-E94F-9295-7FEE8472404D}"/>
    <hyperlink ref="A8" r:id="rId7" location="content-structure-separation-understanding" display="http://www.w3.org/TR/WCAG20/ - content-structure-separation-understanding" xr:uid="{70153FFC-B515-5044-933E-4317D6C783A3}"/>
    <hyperlink ref="A9" r:id="rId8" location="visual-audio-contrast-without-color" display="http://www.w3.org/TR/WCAG20/ - visual-audio-contrast-without-color" xr:uid="{98025DA8-7C59-1F48-AD00-6AA898E2C5DA}"/>
    <hyperlink ref="A10" r:id="rId9" location="visual-audio-contrast-dis-audio" display="http://www.w3.org/TR/WCAG20/ - visual-audio-contrast-dis-audio" xr:uid="{64C949FE-2A53-D94B-AAC6-73AA3B1429CA}"/>
    <hyperlink ref="A11" r:id="rId10" location="keyboard-operation-keyboard-operable" display="http://www.w3.org/TR/WCAG20/ - keyboard-operation-keyboard-operable" xr:uid="{73DDA0F2-BAC5-6348-BB19-DE7225ABD378}"/>
    <hyperlink ref="A12" r:id="rId11" location="keyboard-operation-trapping" display="http://www.w3.org/TR/WCAG20/ - keyboard-operation-trapping" xr:uid="{0B77D5CC-11AC-144A-90D7-465FA656C335}"/>
    <hyperlink ref="A13" r:id="rId12" location="character-key-shortcuts" display="https://www.w3.org/TR/WCAG21/ - character-key-shortcuts" xr:uid="{2331268F-1AD6-3544-8698-D0FBE270C1B7}"/>
    <hyperlink ref="A14" r:id="rId13" location="time-limits-required-behaviors" display="http://www.w3.org/TR/WCAG20/ - time-limits-required-behaviors" xr:uid="{182B9B3F-2685-7749-B676-7E36EED8762E}"/>
    <hyperlink ref="A15" r:id="rId14" location="time-limits-pause" display="http://www.w3.org/TR/WCAG20/ - time-limits-pause" xr:uid="{062C4A08-8F0C-334B-8B16-CB1399A478C4}"/>
    <hyperlink ref="A16" r:id="rId15" location="seizure-does-not-violate" display="http://www.w3.org/TR/WCAG20/ - seizure-does-not-violate" xr:uid="{DBF9584F-F1E1-1540-B52C-7095A890FF68}"/>
    <hyperlink ref="A17" r:id="rId16" location="navigation-mechanisms-skip" display="http://www.w3.org/TR/WCAG20/ - navigation-mechanisms-skip" xr:uid="{83380A37-D7C1-1046-B673-9B02CC339B6B}"/>
    <hyperlink ref="A18" r:id="rId17" location="navigation-mechanisms-title" display="http://www.w3.org/TR/WCAG20/ - navigation-mechanisms-title" xr:uid="{0F96368C-01DB-6849-97AB-A5C4BED00FAF}"/>
    <hyperlink ref="A19" r:id="rId18" location="navigation-mechanisms-focus-order" display="http://www.w3.org/TR/WCAG20/ - navigation-mechanisms-focus-order" xr:uid="{1F4EC7CD-EFC2-3D4C-8025-4DE5A4906E0C}"/>
    <hyperlink ref="A20" r:id="rId19" location="navigation-mechanisms-refs" display="http://www.w3.org/TR/WCAG20/ - navigation-mechanisms-refs" xr:uid="{343C4534-5C1E-3840-9DE2-A50E45F2054C}"/>
    <hyperlink ref="A21" r:id="rId20" location="pointer-gestures" display="https://www.w3.org/TR/WCAG21/ - pointer-gestures" xr:uid="{10214A77-C95A-6B45-9EB4-4D0C87B29C18}"/>
    <hyperlink ref="A22" r:id="rId21" location="pointer-cancellation" display="https://www.w3.org/TR/WCAG21/ - pointer-cancellation" xr:uid="{41C14811-79BC-C443-A94F-1B9D0FD71A78}"/>
    <hyperlink ref="A23" r:id="rId22" location="label-in-name" display="https://www.w3.org/TR/WCAG21/ - label-in-name" xr:uid="{9D21AD50-F90B-DF4A-813C-EAA5595B9327}"/>
    <hyperlink ref="A24" r:id="rId23" location="motion-actuation" display="https://www.w3.org/TR/WCAG21/ - motion-actuation" xr:uid="{F0FD02F7-3A2E-4942-8A87-18F26B090361}"/>
    <hyperlink ref="A25" r:id="rId24" location="meaning-doc-lang-id" display="http://www.w3.org/TR/WCAG20/ - meaning-doc-lang-id" xr:uid="{D0A1B1E7-072A-3548-B03D-2CCD17B04C26}"/>
    <hyperlink ref="A26" r:id="rId25" location="consistent-behavior-receive-focus" display="http://www.w3.org/TR/WCAG20/ - consistent-behavior-receive-focus" xr:uid="{2AB27BAF-1283-6F4B-A716-AA81675220FC}"/>
    <hyperlink ref="A27" r:id="rId26" location="consistent-behavior-unpredictable-change" display="http://www.w3.org/TR/WCAG20/ - consistent-behavior-unpredictable-change" xr:uid="{1973B1F9-825D-2E40-A111-CAFFF7979FF4}"/>
    <hyperlink ref="A28" r:id="rId27" location="consistent-help" xr:uid="{F6DB469F-6749-AC4A-9745-27C620A340B3}"/>
    <hyperlink ref="A29" r:id="rId28" location="minimize-error-identified" display="http://www.w3.org/TR/WCAG20/ - minimize-error-identified" xr:uid="{DEE5305D-0DED-DD42-987A-7E6B06597A43}"/>
    <hyperlink ref="A30" r:id="rId29" location="minimize-error-cues" display="http://www.w3.org/TR/WCAG20/ - minimize-error-cues" xr:uid="{D6201B26-7EB0-DE40-924D-D2341A7F9C84}"/>
    <hyperlink ref="A31" r:id="rId30" location="redundant-entry" display="3.3.7 Redundent Entry" xr:uid="{342749B0-5AD3-A34A-986F-B63371487E24}"/>
    <hyperlink ref="A32" r:id="rId31" location="ensure-compat-parses" display="http://www.w3.org/TR/WCAG20/ - ensure-compat-parses" xr:uid="{F717D29B-30E5-AA4C-896B-0E149152866C}"/>
    <hyperlink ref="A33" r:id="rId32" location="ensure-compat-rsv" display="http://www.w3.org/TR/WCAG20/ - ensure-compat-rsv" xr:uid="{D770FF3F-8DF8-E343-A7E5-C3A985134F44}"/>
    <hyperlink ref="A34" r:id="rId33" location="media-equiv-real-time-captions" display="http://www.w3.org/TR/WCAG20/ - media-equiv-real-time-captions" xr:uid="{DAB1A33A-1C75-1047-8CB5-F80E7BE51200}"/>
    <hyperlink ref="A35" r:id="rId34" location="media-equiv-audio-desc-only" display="http://www.w3.org/TR/WCAG20/ - media-equiv-audio-desc-only" xr:uid="{CC28FA8F-F7F7-BC46-B337-A6C3B2770C0F}"/>
    <hyperlink ref="A36" r:id="rId35" location="orientation" display="https://www.w3.org/TR/WCAG21/ - orientation" xr:uid="{BA06665F-180A-B648-BE97-1ECAF98D0723}"/>
    <hyperlink ref="A37" r:id="rId36" location="identify-input-purpose" display="https://www.w3.org/TR/WCAG21/ - identify-input-purpose" xr:uid="{4C2627FF-3A07-8547-AA36-512B5722BD11}"/>
    <hyperlink ref="A38" r:id="rId37" location="visual-audio-contrast-contrast" display="http://www.w3.org/TR/WCAG20/ - visual-audio-contrast-contrast" xr:uid="{07C5507B-B25F-9840-9C21-6D215902CE26}"/>
    <hyperlink ref="A39" r:id="rId38" location="visual-audio-contrast-scale" display="http://www.w3.org/TR/WCAG20/ - visual-audio-contrast-scale" xr:uid="{4226F8C6-BE0E-2441-BA87-1CEB50691A19}"/>
    <hyperlink ref="A40" r:id="rId39" location="visual-audio-contrast-text-presentation" display="http://www.w3.org/TR/WCAG20/ - visual-audio-contrast-text-presentation" xr:uid="{6F613CE4-98AC-5D4C-9A31-BABBC12049A2}"/>
    <hyperlink ref="A41" r:id="rId40" location="reflow" display="https://www.w3.org/TR/WCAG21/ - reflow" xr:uid="{8BD9B4CA-906E-3E49-A249-89E0FF5B1FF5}"/>
    <hyperlink ref="A42" r:id="rId41" location="non-text-contrast" display="https://www.w3.org/TR/WCAG21/ - non-text-contrast" xr:uid="{6B5E2329-697B-C144-B9F3-BDAA85E2283F}"/>
    <hyperlink ref="A43" r:id="rId42" location="text-spacing" display="https://www.w3.org/TR/WCAG21/ - text-spacing" xr:uid="{A6E7E078-A2CC-E34A-A40A-B617F2FD561E}"/>
    <hyperlink ref="A44" r:id="rId43" location="content-on-hover-or-focus" display="https://www.w3.org/TR/WCAG21/ - content-on-hover-or-focus" xr:uid="{87349592-0028-D54C-A54D-8E509CFFB63E}"/>
    <hyperlink ref="A45" r:id="rId44" location="navigation-mechanisms-mult-loc" display="http://www.w3.org/TR/WCAG20/ - navigation-mechanisms-mult-loc" xr:uid="{654A81E3-FB7A-3B47-9EC5-5C603277C3B9}"/>
    <hyperlink ref="A46" r:id="rId45" location="navigation-mechanisms-descriptive" display="http://www.w3.org/TR/WCAG20/ - navigation-mechanisms-descriptive" xr:uid="{5EB46DD2-A833-F340-91F4-CE2AD7BF824E}"/>
    <hyperlink ref="A47" r:id="rId46" location="navigation-mechanisms-focus-visible" display="http://www.w3.org/TR/WCAG20/ - navigation-mechanisms-focus-visible" xr:uid="{18911195-BEDB-D04E-8DC2-F4AC1D79EB2B}"/>
    <hyperlink ref="A48" r:id="rId47" location="focus-not-obscured-minimum" xr:uid="{785491BE-1773-8144-9809-04208207096E}"/>
    <hyperlink ref="A49" r:id="rId48" location="dragging-movements" xr:uid="{E8FE8291-7987-824B-8804-D29B9AE75001}"/>
    <hyperlink ref="A50" r:id="rId49" location="target-size-minimum" display="2.5.8 Target Size (Level AA, 2.2" xr:uid="{69110FF4-00BB-4248-AC50-B9D5A365D230}"/>
    <hyperlink ref="A51" r:id="rId50" location="meaning-other-lang-id" display="http://www.w3.org/TR/WCAG20/ - meaning-other-lang-id" xr:uid="{E3880C82-FF13-EF40-983F-C462DE1C8263}"/>
    <hyperlink ref="A52" r:id="rId51" location="consistent-behavior-consistent-locations" display="http://www.w3.org/TR/WCAG20/ - consistent-behavior-consistent-locations" xr:uid="{F214DDC6-47C3-9544-A07C-B71B9626AFD3}"/>
    <hyperlink ref="A53" r:id="rId52" location="consistent-behavior-consistent-functionality" display="http://www.w3.org/TR/WCAG20/ - consistent-behavior-consistent-functionality" xr:uid="{0BC2FD4A-D662-DE42-BA95-B3CFB9BDD549}"/>
    <hyperlink ref="A54" r:id="rId53" location="minimize-error-suggestions" display="http://www.w3.org/TR/WCAG20/ - minimize-error-suggestions" xr:uid="{84E0C008-643A-CC46-9653-031EF60BD7A2}"/>
    <hyperlink ref="A55" r:id="rId54" location="minimize-error-reversible" display="http://www.w3.org/TR/WCAG20/ - minimize-error-reversible" xr:uid="{B7071007-4F39-1945-A59A-0610415D98AA}"/>
    <hyperlink ref="A56" r:id="rId55" location="accessible-authentication-minimum" xr:uid="{1A3B2588-3D56-F24A-8F77-1B61C0C9142E}"/>
    <hyperlink ref="A57" r:id="rId56" location="status-messages" display="https://www.w3.org/TR/WCAG21/ - status-messages" xr:uid="{F04EEBE3-7216-EB4C-9D39-948CE2AA9EE6}"/>
  </hyperlinks>
  <pageMargins left="0.7" right="0.7" top="0.75" bottom="0.75" header="0.3" footer="0.3"/>
  <tableParts count="1">
    <tablePart r:id="rId5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BD558-5195-DD4E-984A-C166CE0815CD}">
  <dimension ref="A1:K63"/>
  <sheetViews>
    <sheetView workbookViewId="0">
      <selection sqref="A1:XFD1048576"/>
    </sheetView>
  </sheetViews>
  <sheetFormatPr baseColWidth="10" defaultColWidth="11.5703125" defaultRowHeight="16" x14ac:dyDescent="0.2"/>
  <cols>
    <col min="1" max="1" width="58" customWidth="1"/>
    <col min="2" max="5" width="10.42578125" style="10" customWidth="1"/>
    <col min="6" max="6" width="13" style="10" customWidth="1"/>
    <col min="7" max="7" width="13.5703125" style="10" customWidth="1"/>
    <col min="8" max="8" width="14.28515625" style="10" customWidth="1"/>
    <col min="9" max="9" width="15.7109375" style="10" customWidth="1"/>
    <col min="10" max="10" width="10.42578125" style="10" customWidth="1"/>
    <col min="11" max="12" width="5.42578125" customWidth="1"/>
    <col min="13" max="14" width="14.5703125" customWidth="1"/>
  </cols>
  <sheetData>
    <row r="1" spans="1:11" ht="51" x14ac:dyDescent="0.2">
      <c r="A1" s="18" t="s">
        <v>210</v>
      </c>
      <c r="B1" s="19" t="s">
        <v>211</v>
      </c>
      <c r="C1" s="19" t="s">
        <v>212</v>
      </c>
      <c r="D1" s="19" t="s">
        <v>213</v>
      </c>
      <c r="E1" s="19" t="s">
        <v>214</v>
      </c>
      <c r="F1" s="19" t="s">
        <v>135</v>
      </c>
      <c r="G1" s="19" t="s">
        <v>215</v>
      </c>
      <c r="H1" s="19" t="s">
        <v>216</v>
      </c>
      <c r="I1" s="20" t="s">
        <v>131</v>
      </c>
      <c r="J1" s="20" t="s">
        <v>217</v>
      </c>
      <c r="K1" s="21"/>
    </row>
    <row r="2" spans="1:11" ht="17" x14ac:dyDescent="0.2">
      <c r="A2" s="22" t="s">
        <v>146</v>
      </c>
      <c r="B2" s="23">
        <v>2</v>
      </c>
      <c r="C2" s="10">
        <v>2</v>
      </c>
      <c r="D2" s="24">
        <v>1</v>
      </c>
      <c r="E2" s="10">
        <v>1</v>
      </c>
      <c r="F2" s="10">
        <v>1</v>
      </c>
      <c r="G2" s="10">
        <v>0</v>
      </c>
      <c r="H2" s="10">
        <v>0</v>
      </c>
      <c r="I2" s="10">
        <v>0</v>
      </c>
      <c r="J2" s="10">
        <v>0</v>
      </c>
    </row>
    <row r="3" spans="1:11" ht="17" x14ac:dyDescent="0.2">
      <c r="A3" s="22" t="s">
        <v>149</v>
      </c>
      <c r="B3" s="23">
        <v>2</v>
      </c>
      <c r="C3" s="10">
        <v>3</v>
      </c>
      <c r="D3" s="24">
        <v>1</v>
      </c>
      <c r="E3" s="10">
        <v>1</v>
      </c>
      <c r="F3" s="10">
        <v>0</v>
      </c>
      <c r="G3" s="10">
        <v>1</v>
      </c>
      <c r="H3" s="10">
        <v>1</v>
      </c>
      <c r="I3" s="10">
        <v>0</v>
      </c>
      <c r="J3" s="10">
        <v>0</v>
      </c>
    </row>
    <row r="4" spans="1:11" ht="17" x14ac:dyDescent="0.2">
      <c r="A4" s="22" t="s">
        <v>151</v>
      </c>
      <c r="B4" s="23">
        <v>2</v>
      </c>
      <c r="C4" s="10">
        <v>4</v>
      </c>
      <c r="D4" s="24">
        <v>1</v>
      </c>
      <c r="E4" s="10">
        <v>1</v>
      </c>
      <c r="F4" s="10">
        <v>0</v>
      </c>
      <c r="G4" s="10">
        <v>1</v>
      </c>
      <c r="H4" s="10">
        <v>1</v>
      </c>
      <c r="I4" s="10">
        <v>0</v>
      </c>
      <c r="J4" s="10">
        <v>0</v>
      </c>
    </row>
    <row r="5" spans="1:11" ht="17" x14ac:dyDescent="0.2">
      <c r="A5" s="22" t="s">
        <v>152</v>
      </c>
      <c r="B5" s="23">
        <v>2</v>
      </c>
      <c r="C5" s="10">
        <v>5</v>
      </c>
      <c r="D5" s="24">
        <v>1</v>
      </c>
      <c r="E5" s="10">
        <v>1</v>
      </c>
      <c r="F5" s="10">
        <v>0</v>
      </c>
      <c r="G5" s="10">
        <v>1</v>
      </c>
      <c r="H5" s="10">
        <v>1</v>
      </c>
      <c r="I5" s="10">
        <v>0</v>
      </c>
      <c r="J5" s="10">
        <v>0</v>
      </c>
    </row>
    <row r="6" spans="1:11" ht="17" x14ac:dyDescent="0.2">
      <c r="A6" s="22" t="s">
        <v>153</v>
      </c>
      <c r="B6" s="23">
        <v>2</v>
      </c>
      <c r="C6" s="10">
        <v>6</v>
      </c>
      <c r="D6" s="24">
        <v>1</v>
      </c>
      <c r="E6" s="10">
        <v>0</v>
      </c>
      <c r="F6" s="10">
        <v>0</v>
      </c>
      <c r="G6" s="10">
        <v>0</v>
      </c>
      <c r="H6" s="10">
        <v>0</v>
      </c>
      <c r="I6" s="10">
        <v>0</v>
      </c>
      <c r="J6" s="10">
        <v>0</v>
      </c>
    </row>
    <row r="7" spans="1:11" ht="17" x14ac:dyDescent="0.2">
      <c r="A7" s="22" t="s">
        <v>154</v>
      </c>
      <c r="B7" s="23">
        <v>2</v>
      </c>
      <c r="C7" s="10">
        <v>7</v>
      </c>
      <c r="D7" s="24">
        <v>1</v>
      </c>
      <c r="E7" s="10">
        <v>0</v>
      </c>
      <c r="F7" s="10">
        <v>0</v>
      </c>
      <c r="G7" s="10">
        <v>0</v>
      </c>
      <c r="H7" s="10">
        <v>1</v>
      </c>
      <c r="I7" s="10">
        <v>0</v>
      </c>
      <c r="J7" s="10">
        <v>0</v>
      </c>
    </row>
    <row r="8" spans="1:11" ht="17" x14ac:dyDescent="0.2">
      <c r="A8" s="22" t="s">
        <v>156</v>
      </c>
      <c r="B8" s="23">
        <v>2</v>
      </c>
      <c r="C8" s="10">
        <v>8</v>
      </c>
      <c r="D8" s="24">
        <v>1</v>
      </c>
      <c r="E8" s="10">
        <v>1</v>
      </c>
      <c r="F8" s="10">
        <v>1</v>
      </c>
      <c r="G8" s="10">
        <v>1</v>
      </c>
      <c r="H8" s="10">
        <v>1</v>
      </c>
      <c r="I8" s="10">
        <v>1</v>
      </c>
      <c r="J8" s="10">
        <v>0</v>
      </c>
    </row>
    <row r="9" spans="1:11" ht="17" x14ac:dyDescent="0.2">
      <c r="A9" s="22" t="s">
        <v>157</v>
      </c>
      <c r="B9" s="23">
        <v>2</v>
      </c>
      <c r="C9" s="10">
        <v>9</v>
      </c>
      <c r="D9" s="24">
        <v>0</v>
      </c>
      <c r="E9" s="10">
        <v>1</v>
      </c>
      <c r="F9" s="10">
        <v>1</v>
      </c>
      <c r="G9" s="10">
        <v>0</v>
      </c>
      <c r="H9" s="10">
        <v>0</v>
      </c>
      <c r="I9" s="10">
        <v>0</v>
      </c>
      <c r="J9" s="10">
        <v>0</v>
      </c>
    </row>
    <row r="10" spans="1:11" ht="17" x14ac:dyDescent="0.2">
      <c r="A10" s="22" t="s">
        <v>158</v>
      </c>
      <c r="B10" s="23">
        <v>2</v>
      </c>
      <c r="C10" s="10">
        <v>10</v>
      </c>
      <c r="D10" s="24">
        <v>1</v>
      </c>
      <c r="E10" s="10">
        <v>1</v>
      </c>
      <c r="F10" s="10">
        <v>0</v>
      </c>
      <c r="G10" s="10">
        <v>1</v>
      </c>
      <c r="H10" s="10">
        <v>1</v>
      </c>
      <c r="I10" s="10">
        <v>1</v>
      </c>
      <c r="J10" s="10">
        <v>0</v>
      </c>
    </row>
    <row r="11" spans="1:11" ht="17" x14ac:dyDescent="0.2">
      <c r="A11" s="22" t="s">
        <v>159</v>
      </c>
      <c r="B11" s="23">
        <v>2</v>
      </c>
      <c r="C11" s="10">
        <v>11</v>
      </c>
      <c r="D11" s="24">
        <v>1</v>
      </c>
      <c r="E11" s="10">
        <v>1</v>
      </c>
      <c r="F11" s="10">
        <v>0</v>
      </c>
      <c r="G11" s="10">
        <v>0</v>
      </c>
      <c r="H11" s="10">
        <v>1</v>
      </c>
      <c r="I11" s="10">
        <v>1</v>
      </c>
      <c r="J11" s="10">
        <v>0</v>
      </c>
    </row>
    <row r="12" spans="1:11" ht="17" x14ac:dyDescent="0.2">
      <c r="A12" s="22" t="s">
        <v>160</v>
      </c>
      <c r="B12" s="23">
        <v>2</v>
      </c>
      <c r="C12" s="10">
        <v>12</v>
      </c>
      <c r="D12" s="24">
        <v>1</v>
      </c>
      <c r="E12" s="10">
        <v>1</v>
      </c>
      <c r="F12" s="10">
        <v>0</v>
      </c>
      <c r="G12" s="10">
        <v>0</v>
      </c>
      <c r="H12" s="10">
        <v>1</v>
      </c>
      <c r="I12" s="10">
        <v>1</v>
      </c>
      <c r="J12" s="10">
        <v>0</v>
      </c>
    </row>
    <row r="13" spans="1:11" ht="17" x14ac:dyDescent="0.2">
      <c r="A13" s="22" t="s">
        <v>161</v>
      </c>
      <c r="B13" s="25">
        <v>2.1</v>
      </c>
      <c r="C13" s="10">
        <v>13</v>
      </c>
      <c r="D13" s="24">
        <v>1</v>
      </c>
      <c r="E13" s="10">
        <v>1</v>
      </c>
      <c r="F13" s="10">
        <v>0</v>
      </c>
      <c r="G13" s="10">
        <v>0</v>
      </c>
      <c r="H13" s="10">
        <v>1</v>
      </c>
      <c r="I13" s="10">
        <v>1</v>
      </c>
      <c r="J13" s="10">
        <v>0</v>
      </c>
    </row>
    <row r="14" spans="1:11" ht="17" x14ac:dyDescent="0.2">
      <c r="A14" s="22" t="s">
        <v>162</v>
      </c>
      <c r="B14" s="23">
        <v>2</v>
      </c>
      <c r="C14" s="10">
        <v>14</v>
      </c>
      <c r="D14" s="24">
        <v>1</v>
      </c>
      <c r="E14" s="10">
        <v>1</v>
      </c>
      <c r="F14" s="10">
        <v>0</v>
      </c>
      <c r="G14" s="10">
        <v>0</v>
      </c>
      <c r="H14" s="10">
        <v>1</v>
      </c>
      <c r="I14" s="10">
        <v>1</v>
      </c>
      <c r="J14" s="10">
        <v>1</v>
      </c>
    </row>
    <row r="15" spans="1:11" ht="17" x14ac:dyDescent="0.2">
      <c r="A15" s="22" t="s">
        <v>163</v>
      </c>
      <c r="B15" s="23">
        <v>2</v>
      </c>
      <c r="C15" s="10">
        <v>15</v>
      </c>
      <c r="D15" s="24">
        <v>1</v>
      </c>
      <c r="E15" s="10">
        <v>1</v>
      </c>
      <c r="F15" s="10">
        <v>0</v>
      </c>
      <c r="G15" s="10">
        <v>0</v>
      </c>
      <c r="H15" s="10">
        <v>1</v>
      </c>
      <c r="I15" s="10">
        <v>1</v>
      </c>
      <c r="J15" s="10">
        <v>1</v>
      </c>
    </row>
    <row r="16" spans="1:11" ht="17" x14ac:dyDescent="0.2">
      <c r="A16" s="22" t="s">
        <v>164</v>
      </c>
      <c r="B16" s="23">
        <v>2</v>
      </c>
      <c r="C16" s="10">
        <v>16</v>
      </c>
      <c r="D16" s="24">
        <v>0</v>
      </c>
      <c r="E16" s="10">
        <v>1</v>
      </c>
      <c r="F16" s="10">
        <v>0</v>
      </c>
      <c r="G16" s="10">
        <v>0</v>
      </c>
      <c r="H16" s="10">
        <v>1</v>
      </c>
      <c r="I16" s="10">
        <v>1</v>
      </c>
      <c r="J16" s="10">
        <v>1</v>
      </c>
    </row>
    <row r="17" spans="1:10" ht="17" x14ac:dyDescent="0.2">
      <c r="A17" s="22" t="s">
        <v>165</v>
      </c>
      <c r="B17" s="23">
        <v>2</v>
      </c>
      <c r="C17" s="10">
        <v>17</v>
      </c>
      <c r="D17" s="24">
        <v>1</v>
      </c>
      <c r="E17" s="10">
        <v>1</v>
      </c>
      <c r="F17" s="10">
        <v>0</v>
      </c>
      <c r="G17" s="10">
        <v>0</v>
      </c>
      <c r="H17" s="10">
        <v>1</v>
      </c>
      <c r="I17" s="10">
        <v>1</v>
      </c>
      <c r="J17" s="10">
        <v>0</v>
      </c>
    </row>
    <row r="18" spans="1:10" ht="17" x14ac:dyDescent="0.2">
      <c r="A18" s="22" t="s">
        <v>166</v>
      </c>
      <c r="B18" s="23">
        <v>2</v>
      </c>
      <c r="C18" s="10">
        <v>18</v>
      </c>
      <c r="D18" s="24">
        <v>1</v>
      </c>
      <c r="E18" s="10">
        <v>0</v>
      </c>
      <c r="F18" s="10">
        <v>0</v>
      </c>
      <c r="G18" s="10">
        <v>0</v>
      </c>
      <c r="H18" s="10">
        <v>1</v>
      </c>
      <c r="I18" s="10">
        <v>1</v>
      </c>
      <c r="J18" s="10">
        <v>0</v>
      </c>
    </row>
    <row r="19" spans="1:10" ht="17" x14ac:dyDescent="0.2">
      <c r="A19" s="22" t="s">
        <v>167</v>
      </c>
      <c r="B19" s="23">
        <v>2</v>
      </c>
      <c r="C19" s="10">
        <v>19</v>
      </c>
      <c r="D19" s="24">
        <v>1</v>
      </c>
      <c r="E19" s="10">
        <v>1</v>
      </c>
      <c r="F19" s="10">
        <v>0</v>
      </c>
      <c r="G19" s="10">
        <v>0</v>
      </c>
      <c r="H19" s="10">
        <v>1</v>
      </c>
      <c r="I19" s="10">
        <v>1</v>
      </c>
      <c r="J19" s="10">
        <v>0</v>
      </c>
    </row>
    <row r="20" spans="1:10" ht="17" x14ac:dyDescent="0.2">
      <c r="A20" s="22" t="s">
        <v>168</v>
      </c>
      <c r="B20" s="23">
        <v>2</v>
      </c>
      <c r="C20" s="10">
        <v>20</v>
      </c>
      <c r="D20" s="24">
        <v>1</v>
      </c>
      <c r="E20" s="10">
        <v>1</v>
      </c>
      <c r="F20" s="10">
        <v>0</v>
      </c>
      <c r="G20" s="10">
        <v>0</v>
      </c>
      <c r="H20" s="10">
        <v>1</v>
      </c>
      <c r="I20" s="10">
        <v>1</v>
      </c>
      <c r="J20" s="10">
        <v>0</v>
      </c>
    </row>
    <row r="21" spans="1:10" ht="17" x14ac:dyDescent="0.2">
      <c r="A21" s="22" t="s">
        <v>169</v>
      </c>
      <c r="B21" s="25">
        <v>2.1</v>
      </c>
      <c r="C21" s="10">
        <v>21</v>
      </c>
      <c r="D21" s="24">
        <v>1</v>
      </c>
      <c r="E21" s="10">
        <v>1</v>
      </c>
      <c r="F21" s="10">
        <v>0</v>
      </c>
      <c r="G21" s="10">
        <v>0</v>
      </c>
      <c r="H21" s="10">
        <v>1</v>
      </c>
      <c r="I21" s="10">
        <v>1</v>
      </c>
      <c r="J21" s="10">
        <v>0</v>
      </c>
    </row>
    <row r="22" spans="1:10" ht="17" x14ac:dyDescent="0.2">
      <c r="A22" s="22" t="s">
        <v>170</v>
      </c>
      <c r="B22" s="25">
        <v>2.1</v>
      </c>
      <c r="C22" s="10">
        <v>22</v>
      </c>
      <c r="D22" s="24">
        <v>1</v>
      </c>
      <c r="E22" s="10">
        <v>1</v>
      </c>
      <c r="F22" s="10">
        <v>0</v>
      </c>
      <c r="G22" s="10">
        <v>0</v>
      </c>
      <c r="H22" s="10">
        <v>1</v>
      </c>
      <c r="I22" s="10">
        <v>1</v>
      </c>
      <c r="J22" s="10">
        <v>0</v>
      </c>
    </row>
    <row r="23" spans="1:10" ht="17" x14ac:dyDescent="0.2">
      <c r="A23" s="22" t="s">
        <v>171</v>
      </c>
      <c r="B23" s="25">
        <v>2.1</v>
      </c>
      <c r="C23" s="10">
        <v>23</v>
      </c>
      <c r="D23" s="24">
        <v>1</v>
      </c>
      <c r="E23" s="10">
        <v>1</v>
      </c>
      <c r="F23" s="10">
        <v>0</v>
      </c>
      <c r="G23" s="10">
        <v>1</v>
      </c>
      <c r="H23" s="10">
        <v>1</v>
      </c>
      <c r="I23" s="10">
        <v>0</v>
      </c>
      <c r="J23" s="10">
        <v>0</v>
      </c>
    </row>
    <row r="24" spans="1:10" ht="17" x14ac:dyDescent="0.2">
      <c r="A24" s="22" t="s">
        <v>172</v>
      </c>
      <c r="B24" s="25">
        <v>2.1</v>
      </c>
      <c r="C24" s="10">
        <v>24</v>
      </c>
      <c r="D24" s="24">
        <v>1</v>
      </c>
      <c r="E24" s="10">
        <v>1</v>
      </c>
      <c r="F24" s="10">
        <v>0</v>
      </c>
      <c r="G24" s="10">
        <v>0</v>
      </c>
      <c r="H24" s="10">
        <v>1</v>
      </c>
      <c r="I24" s="10">
        <v>1</v>
      </c>
      <c r="J24" s="10">
        <v>0</v>
      </c>
    </row>
    <row r="25" spans="1:10" ht="17" x14ac:dyDescent="0.2">
      <c r="A25" s="22" t="s">
        <v>173</v>
      </c>
      <c r="B25" s="23">
        <v>2</v>
      </c>
      <c r="C25" s="10">
        <v>25</v>
      </c>
      <c r="D25" s="24">
        <v>1</v>
      </c>
      <c r="E25" s="10">
        <v>0</v>
      </c>
      <c r="F25" s="10">
        <v>0</v>
      </c>
      <c r="G25" s="10">
        <v>0</v>
      </c>
      <c r="H25" s="10">
        <v>1</v>
      </c>
      <c r="I25" s="10">
        <v>1</v>
      </c>
      <c r="J25" s="10">
        <v>0</v>
      </c>
    </row>
    <row r="26" spans="1:10" ht="17" x14ac:dyDescent="0.2">
      <c r="A26" s="22" t="s">
        <v>174</v>
      </c>
      <c r="B26" s="23">
        <v>2</v>
      </c>
      <c r="C26" s="10">
        <v>26</v>
      </c>
      <c r="D26" s="24">
        <v>1</v>
      </c>
      <c r="E26" s="10">
        <v>1</v>
      </c>
      <c r="F26" s="10">
        <v>0</v>
      </c>
      <c r="G26" s="10">
        <v>0</v>
      </c>
      <c r="H26" s="10">
        <v>1</v>
      </c>
      <c r="I26" s="10">
        <v>1</v>
      </c>
      <c r="J26" s="10">
        <v>0</v>
      </c>
    </row>
    <row r="27" spans="1:10" ht="17" x14ac:dyDescent="0.2">
      <c r="A27" s="22" t="s">
        <v>175</v>
      </c>
      <c r="B27" s="23">
        <v>2</v>
      </c>
      <c r="C27" s="10">
        <v>27</v>
      </c>
      <c r="D27" s="24">
        <v>1</v>
      </c>
      <c r="E27" s="10">
        <v>1</v>
      </c>
      <c r="F27" s="10">
        <v>0</v>
      </c>
      <c r="G27" s="10">
        <v>0</v>
      </c>
      <c r="H27" s="10">
        <v>1</v>
      </c>
      <c r="I27" s="10">
        <v>1</v>
      </c>
      <c r="J27" s="10">
        <v>0</v>
      </c>
    </row>
    <row r="28" spans="1:10" ht="17" x14ac:dyDescent="0.2">
      <c r="A28" s="26" t="s">
        <v>176</v>
      </c>
      <c r="B28" s="27">
        <v>2.2000000000000002</v>
      </c>
      <c r="C28" s="10">
        <v>28</v>
      </c>
      <c r="D28" s="28">
        <v>0</v>
      </c>
      <c r="E28" s="29">
        <v>0</v>
      </c>
      <c r="F28" s="29">
        <v>0</v>
      </c>
      <c r="G28" s="29">
        <v>0</v>
      </c>
      <c r="H28" s="29">
        <v>1</v>
      </c>
      <c r="I28" s="29">
        <v>0</v>
      </c>
      <c r="J28" s="29">
        <v>0</v>
      </c>
    </row>
    <row r="29" spans="1:10" ht="17" x14ac:dyDescent="0.2">
      <c r="A29" s="22" t="s">
        <v>178</v>
      </c>
      <c r="B29" s="23">
        <v>2</v>
      </c>
      <c r="C29" s="10">
        <v>29</v>
      </c>
      <c r="D29" s="24">
        <v>1</v>
      </c>
      <c r="E29" s="10">
        <v>1</v>
      </c>
      <c r="F29" s="10">
        <v>1</v>
      </c>
      <c r="G29" s="10">
        <v>0</v>
      </c>
      <c r="H29" s="10">
        <v>1</v>
      </c>
      <c r="I29" s="10">
        <v>1</v>
      </c>
      <c r="J29" s="10">
        <v>0</v>
      </c>
    </row>
    <row r="30" spans="1:10" ht="17" x14ac:dyDescent="0.2">
      <c r="A30" s="22" t="s">
        <v>179</v>
      </c>
      <c r="B30" s="23">
        <v>2</v>
      </c>
      <c r="C30" s="10">
        <v>30</v>
      </c>
      <c r="D30" s="24">
        <v>1</v>
      </c>
      <c r="E30" s="10">
        <v>1</v>
      </c>
      <c r="F30" s="10">
        <v>1</v>
      </c>
      <c r="G30" s="10">
        <v>0</v>
      </c>
      <c r="H30" s="10">
        <v>1</v>
      </c>
      <c r="I30" s="10">
        <v>1</v>
      </c>
      <c r="J30" s="10">
        <v>0</v>
      </c>
    </row>
    <row r="31" spans="1:10" ht="17" x14ac:dyDescent="0.2">
      <c r="A31" s="30" t="s">
        <v>180</v>
      </c>
      <c r="B31" s="27">
        <v>2.2000000000000002</v>
      </c>
      <c r="C31" s="10">
        <v>31</v>
      </c>
      <c r="D31" s="28">
        <v>0</v>
      </c>
      <c r="E31" s="29">
        <v>0</v>
      </c>
      <c r="F31" s="29">
        <v>0</v>
      </c>
      <c r="G31" s="29">
        <v>0</v>
      </c>
      <c r="H31" s="29">
        <v>1</v>
      </c>
      <c r="I31" s="29">
        <v>0</v>
      </c>
      <c r="J31" s="29">
        <v>0</v>
      </c>
    </row>
    <row r="32" spans="1:10" ht="17" x14ac:dyDescent="0.2">
      <c r="A32" s="22" t="s">
        <v>181</v>
      </c>
      <c r="B32" s="23">
        <v>2</v>
      </c>
      <c r="C32" s="10">
        <v>32</v>
      </c>
      <c r="D32" s="24">
        <v>1</v>
      </c>
      <c r="E32" s="10">
        <v>1</v>
      </c>
      <c r="F32" s="10">
        <v>1</v>
      </c>
      <c r="G32" s="10">
        <v>1</v>
      </c>
      <c r="H32" s="10">
        <v>1</v>
      </c>
      <c r="I32" s="10">
        <v>1</v>
      </c>
      <c r="J32" s="10">
        <v>0</v>
      </c>
    </row>
    <row r="33" spans="1:10" ht="17" x14ac:dyDescent="0.2">
      <c r="A33" s="22" t="s">
        <v>183</v>
      </c>
      <c r="B33" s="23">
        <v>2</v>
      </c>
      <c r="C33" s="10">
        <v>33</v>
      </c>
      <c r="D33" s="24">
        <v>1</v>
      </c>
      <c r="E33" s="10">
        <v>1</v>
      </c>
      <c r="F33" s="10">
        <v>0</v>
      </c>
      <c r="G33" s="10">
        <v>0</v>
      </c>
      <c r="H33" s="10">
        <v>1</v>
      </c>
      <c r="I33" s="10">
        <v>1</v>
      </c>
      <c r="J33" s="10">
        <v>0</v>
      </c>
    </row>
    <row r="34" spans="1:10" ht="17" x14ac:dyDescent="0.2">
      <c r="A34" s="22" t="s">
        <v>184</v>
      </c>
      <c r="B34" s="23">
        <v>2</v>
      </c>
      <c r="C34" s="10">
        <v>34</v>
      </c>
      <c r="D34" s="24">
        <v>1</v>
      </c>
      <c r="E34" s="10">
        <v>0</v>
      </c>
      <c r="F34" s="10">
        <v>0</v>
      </c>
      <c r="G34" s="10">
        <v>1</v>
      </c>
      <c r="H34" s="10">
        <v>1</v>
      </c>
      <c r="I34" s="10">
        <v>0</v>
      </c>
      <c r="J34" s="10">
        <v>0</v>
      </c>
    </row>
    <row r="35" spans="1:10" ht="17" x14ac:dyDescent="0.2">
      <c r="A35" s="22" t="s">
        <v>185</v>
      </c>
      <c r="B35" s="23">
        <v>2</v>
      </c>
      <c r="C35" s="10">
        <v>35</v>
      </c>
      <c r="D35" s="24">
        <v>1</v>
      </c>
      <c r="E35" s="10">
        <v>0</v>
      </c>
      <c r="F35" s="10">
        <v>0</v>
      </c>
      <c r="G35" s="10">
        <v>1</v>
      </c>
      <c r="H35" s="10">
        <v>1</v>
      </c>
      <c r="I35" s="10">
        <v>0</v>
      </c>
      <c r="J35" s="10">
        <v>0</v>
      </c>
    </row>
    <row r="36" spans="1:10" ht="17" x14ac:dyDescent="0.2">
      <c r="A36" s="22" t="s">
        <v>186</v>
      </c>
      <c r="B36" s="25">
        <v>2.1</v>
      </c>
      <c r="C36" s="10">
        <v>36</v>
      </c>
      <c r="D36" s="24">
        <v>0</v>
      </c>
      <c r="E36" s="10">
        <v>1</v>
      </c>
      <c r="F36" s="10">
        <v>0</v>
      </c>
      <c r="G36" s="10">
        <v>0</v>
      </c>
      <c r="H36" s="10">
        <v>1</v>
      </c>
      <c r="I36" s="10">
        <v>0</v>
      </c>
      <c r="J36" s="10">
        <v>0</v>
      </c>
    </row>
    <row r="37" spans="1:10" ht="17" x14ac:dyDescent="0.2">
      <c r="A37" s="22" t="s">
        <v>218</v>
      </c>
      <c r="B37" s="25">
        <v>2.1</v>
      </c>
      <c r="C37" s="10">
        <v>37</v>
      </c>
      <c r="D37" s="24">
        <v>0</v>
      </c>
      <c r="E37" s="10">
        <v>1</v>
      </c>
      <c r="F37" s="10">
        <v>0</v>
      </c>
      <c r="G37" s="10">
        <v>0</v>
      </c>
      <c r="H37" s="10">
        <v>1</v>
      </c>
      <c r="I37" s="10">
        <v>0</v>
      </c>
      <c r="J37" s="10">
        <v>0</v>
      </c>
    </row>
    <row r="38" spans="1:10" ht="17" x14ac:dyDescent="0.2">
      <c r="A38" s="22" t="s">
        <v>188</v>
      </c>
      <c r="B38" s="23">
        <v>2</v>
      </c>
      <c r="C38" s="10">
        <v>38</v>
      </c>
      <c r="D38" s="24">
        <v>0</v>
      </c>
      <c r="E38" s="10">
        <v>1</v>
      </c>
      <c r="F38" s="10">
        <v>1</v>
      </c>
      <c r="G38" s="10">
        <v>0</v>
      </c>
      <c r="H38" s="10">
        <v>1</v>
      </c>
      <c r="I38" s="10">
        <v>0</v>
      </c>
      <c r="J38" s="10">
        <v>0</v>
      </c>
    </row>
    <row r="39" spans="1:10" ht="17" x14ac:dyDescent="0.2">
      <c r="A39" s="31" t="s">
        <v>198</v>
      </c>
      <c r="B39" s="32">
        <v>2.2000000000000002</v>
      </c>
      <c r="C39" s="10">
        <v>38</v>
      </c>
      <c r="D39" s="24">
        <v>0</v>
      </c>
      <c r="E39" s="10">
        <v>1</v>
      </c>
      <c r="F39" s="10">
        <v>0</v>
      </c>
      <c r="G39" s="10">
        <v>0</v>
      </c>
      <c r="H39" s="10">
        <v>1</v>
      </c>
      <c r="I39" s="10">
        <v>1</v>
      </c>
      <c r="J39" s="10">
        <v>0</v>
      </c>
    </row>
    <row r="40" spans="1:10" ht="17" x14ac:dyDescent="0.2">
      <c r="A40" s="22" t="s">
        <v>189</v>
      </c>
      <c r="B40" s="23">
        <v>2</v>
      </c>
      <c r="C40" s="10">
        <v>39</v>
      </c>
      <c r="D40" s="24">
        <v>0</v>
      </c>
      <c r="E40" s="10">
        <v>1</v>
      </c>
      <c r="F40" s="10">
        <v>1</v>
      </c>
      <c r="G40" s="10">
        <v>0</v>
      </c>
      <c r="H40" s="10">
        <v>1</v>
      </c>
      <c r="I40" s="10">
        <v>0</v>
      </c>
      <c r="J40" s="10">
        <v>0</v>
      </c>
    </row>
    <row r="41" spans="1:10" ht="17" x14ac:dyDescent="0.2">
      <c r="A41" s="22" t="s">
        <v>190</v>
      </c>
      <c r="B41" s="23">
        <v>2</v>
      </c>
      <c r="C41" s="10">
        <v>40</v>
      </c>
      <c r="D41" s="24">
        <v>1</v>
      </c>
      <c r="E41" s="10">
        <v>1</v>
      </c>
      <c r="F41" s="10">
        <v>1</v>
      </c>
      <c r="G41" s="10">
        <v>0</v>
      </c>
      <c r="H41" s="10">
        <v>1</v>
      </c>
      <c r="I41" s="10">
        <v>0</v>
      </c>
      <c r="J41" s="10">
        <v>0</v>
      </c>
    </row>
    <row r="42" spans="1:10" ht="17" x14ac:dyDescent="0.2">
      <c r="A42" s="22" t="s">
        <v>219</v>
      </c>
      <c r="B42" s="25">
        <v>2.1</v>
      </c>
      <c r="C42" s="10">
        <v>41</v>
      </c>
      <c r="D42" s="24">
        <v>0</v>
      </c>
      <c r="E42" s="10">
        <v>1</v>
      </c>
      <c r="F42" s="10">
        <v>0</v>
      </c>
      <c r="G42" s="10">
        <v>0</v>
      </c>
      <c r="H42" s="10">
        <v>1</v>
      </c>
      <c r="I42" s="10">
        <v>0</v>
      </c>
      <c r="J42" s="10">
        <v>0</v>
      </c>
    </row>
    <row r="43" spans="1:10" ht="17" x14ac:dyDescent="0.2">
      <c r="A43" s="22" t="s">
        <v>220</v>
      </c>
      <c r="B43" s="25">
        <v>2.1</v>
      </c>
      <c r="C43" s="10">
        <v>42</v>
      </c>
      <c r="D43" s="24">
        <v>0</v>
      </c>
      <c r="E43" s="10">
        <v>1</v>
      </c>
      <c r="F43" s="10">
        <v>1</v>
      </c>
      <c r="G43" s="10">
        <v>0</v>
      </c>
      <c r="H43" s="10">
        <v>1</v>
      </c>
      <c r="I43" s="10">
        <v>0</v>
      </c>
      <c r="J43" s="10">
        <v>0</v>
      </c>
    </row>
    <row r="44" spans="1:10" ht="17" x14ac:dyDescent="0.2">
      <c r="A44" s="22" t="s">
        <v>221</v>
      </c>
      <c r="B44" s="25">
        <v>2.1</v>
      </c>
      <c r="C44" s="10">
        <v>43</v>
      </c>
      <c r="D44" s="24">
        <v>0</v>
      </c>
      <c r="E44" s="10">
        <v>1</v>
      </c>
      <c r="F44" s="10">
        <v>1</v>
      </c>
      <c r="G44" s="10">
        <v>0</v>
      </c>
      <c r="H44" s="10">
        <v>1</v>
      </c>
      <c r="I44" s="10">
        <v>0</v>
      </c>
      <c r="J44" s="10">
        <v>0</v>
      </c>
    </row>
    <row r="45" spans="1:10" ht="17" x14ac:dyDescent="0.2">
      <c r="A45" s="22" t="s">
        <v>222</v>
      </c>
      <c r="B45" s="25">
        <v>2.1</v>
      </c>
      <c r="C45" s="10">
        <v>44</v>
      </c>
      <c r="D45" s="24">
        <v>0</v>
      </c>
      <c r="E45" s="10">
        <v>1</v>
      </c>
      <c r="F45" s="10">
        <v>0</v>
      </c>
      <c r="G45" s="10">
        <v>0</v>
      </c>
      <c r="H45" s="10">
        <v>1</v>
      </c>
      <c r="I45" s="10">
        <v>1</v>
      </c>
      <c r="J45" s="10">
        <v>0</v>
      </c>
    </row>
    <row r="46" spans="1:10" ht="17" x14ac:dyDescent="0.2">
      <c r="A46" s="22" t="s">
        <v>195</v>
      </c>
      <c r="B46" s="23">
        <v>2</v>
      </c>
      <c r="C46" s="10">
        <v>45</v>
      </c>
      <c r="D46" s="24">
        <v>1</v>
      </c>
      <c r="E46" s="10">
        <v>1</v>
      </c>
      <c r="F46" s="10">
        <v>0</v>
      </c>
      <c r="G46" s="10">
        <v>0</v>
      </c>
      <c r="H46" s="10">
        <v>1</v>
      </c>
      <c r="I46" s="10">
        <v>1</v>
      </c>
      <c r="J46" s="10">
        <v>0</v>
      </c>
    </row>
    <row r="47" spans="1:10" ht="17" x14ac:dyDescent="0.2">
      <c r="A47" s="22" t="s">
        <v>196</v>
      </c>
      <c r="B47" s="23">
        <v>2</v>
      </c>
      <c r="C47" s="10">
        <v>46</v>
      </c>
      <c r="D47" s="24">
        <v>1</v>
      </c>
      <c r="E47" s="10">
        <v>1</v>
      </c>
      <c r="F47" s="10">
        <v>0</v>
      </c>
      <c r="G47" s="10">
        <v>0</v>
      </c>
      <c r="H47" s="10">
        <v>1</v>
      </c>
      <c r="I47" s="10">
        <v>0</v>
      </c>
      <c r="J47" s="10">
        <v>0</v>
      </c>
    </row>
    <row r="48" spans="1:10" ht="17" x14ac:dyDescent="0.2">
      <c r="A48" s="22" t="s">
        <v>197</v>
      </c>
      <c r="B48" s="23">
        <v>2</v>
      </c>
      <c r="C48" s="10">
        <v>47</v>
      </c>
      <c r="D48" s="24">
        <v>0</v>
      </c>
      <c r="E48" s="10">
        <v>1</v>
      </c>
      <c r="F48" s="10">
        <v>0</v>
      </c>
      <c r="G48" s="10">
        <v>0</v>
      </c>
      <c r="H48" s="10">
        <v>1</v>
      </c>
      <c r="I48" s="10">
        <v>0</v>
      </c>
      <c r="J48" s="10">
        <v>0</v>
      </c>
    </row>
    <row r="49" spans="1:10" ht="17" x14ac:dyDescent="0.2">
      <c r="A49" s="31" t="s">
        <v>199</v>
      </c>
      <c r="B49" s="32">
        <v>2.2000000000000002</v>
      </c>
      <c r="C49" s="10">
        <v>49</v>
      </c>
      <c r="D49" s="28">
        <v>1</v>
      </c>
      <c r="E49" s="29">
        <v>1</v>
      </c>
      <c r="F49" s="29">
        <v>0</v>
      </c>
      <c r="G49" s="29">
        <v>0</v>
      </c>
      <c r="H49" s="29">
        <v>1</v>
      </c>
      <c r="I49" s="29">
        <v>1</v>
      </c>
      <c r="J49" s="29">
        <v>0</v>
      </c>
    </row>
    <row r="50" spans="1:10" ht="17" x14ac:dyDescent="0.2">
      <c r="A50" s="31" t="s">
        <v>200</v>
      </c>
      <c r="B50" s="32">
        <v>2.2000000000000002</v>
      </c>
      <c r="C50" s="10">
        <v>50</v>
      </c>
      <c r="D50" s="33">
        <v>1</v>
      </c>
      <c r="E50" s="29">
        <v>1</v>
      </c>
      <c r="F50" s="29">
        <v>0</v>
      </c>
      <c r="G50" s="29">
        <v>0</v>
      </c>
      <c r="H50" s="29">
        <v>1</v>
      </c>
      <c r="I50" s="29">
        <v>1</v>
      </c>
      <c r="J50" s="29">
        <v>0</v>
      </c>
    </row>
    <row r="51" spans="1:10" ht="17" x14ac:dyDescent="0.2">
      <c r="A51" s="34" t="s">
        <v>201</v>
      </c>
      <c r="B51" s="23">
        <v>2</v>
      </c>
      <c r="C51" s="10">
        <v>51</v>
      </c>
      <c r="D51" s="35">
        <v>1</v>
      </c>
      <c r="E51" s="36">
        <v>1</v>
      </c>
      <c r="F51" s="36">
        <v>0</v>
      </c>
      <c r="G51" s="36">
        <v>0</v>
      </c>
      <c r="H51" s="36">
        <v>1</v>
      </c>
      <c r="I51" s="36">
        <v>1</v>
      </c>
      <c r="J51" s="36">
        <v>0</v>
      </c>
    </row>
    <row r="52" spans="1:10" ht="17" x14ac:dyDescent="0.2">
      <c r="A52" s="34" t="s">
        <v>202</v>
      </c>
      <c r="B52" s="23">
        <v>2</v>
      </c>
      <c r="C52" s="10">
        <v>52</v>
      </c>
      <c r="D52" s="35">
        <v>1</v>
      </c>
      <c r="E52" s="36">
        <v>1</v>
      </c>
      <c r="F52" s="36">
        <v>1</v>
      </c>
      <c r="G52" s="36">
        <v>0</v>
      </c>
      <c r="H52" s="36">
        <v>1</v>
      </c>
      <c r="I52" s="36">
        <v>1</v>
      </c>
      <c r="J52" s="36">
        <v>0</v>
      </c>
    </row>
    <row r="53" spans="1:10" ht="17" x14ac:dyDescent="0.2">
      <c r="A53" s="34" t="s">
        <v>203</v>
      </c>
      <c r="B53" s="23">
        <v>2</v>
      </c>
      <c r="C53" s="10">
        <v>53</v>
      </c>
      <c r="D53" s="35">
        <v>1</v>
      </c>
      <c r="E53" s="36">
        <v>1</v>
      </c>
      <c r="F53" s="36">
        <v>1</v>
      </c>
      <c r="G53" s="36">
        <v>0</v>
      </c>
      <c r="H53" s="36">
        <v>1</v>
      </c>
      <c r="I53" s="36">
        <v>1</v>
      </c>
      <c r="J53" s="36">
        <v>0</v>
      </c>
    </row>
    <row r="54" spans="1:10" ht="17" x14ac:dyDescent="0.2">
      <c r="A54" s="34" t="s">
        <v>204</v>
      </c>
      <c r="B54" s="23">
        <v>2</v>
      </c>
      <c r="C54" s="10">
        <v>54</v>
      </c>
      <c r="D54" s="35">
        <v>1</v>
      </c>
      <c r="E54" s="36">
        <v>1</v>
      </c>
      <c r="F54" s="36">
        <v>1</v>
      </c>
      <c r="G54" s="36">
        <v>0</v>
      </c>
      <c r="H54" s="36">
        <v>1</v>
      </c>
      <c r="I54" s="36">
        <v>1</v>
      </c>
      <c r="J54" s="36">
        <v>0</v>
      </c>
    </row>
    <row r="55" spans="1:10" ht="17" x14ac:dyDescent="0.2">
      <c r="A55" s="34" t="s">
        <v>205</v>
      </c>
      <c r="B55" s="23">
        <v>2</v>
      </c>
      <c r="C55" s="10">
        <v>55</v>
      </c>
      <c r="D55" s="35">
        <v>1</v>
      </c>
      <c r="E55" s="36">
        <v>1</v>
      </c>
      <c r="F55" s="36">
        <v>1</v>
      </c>
      <c r="G55" s="36">
        <v>0</v>
      </c>
      <c r="H55" s="36">
        <v>1</v>
      </c>
      <c r="I55" s="36">
        <v>1</v>
      </c>
      <c r="J55" s="36">
        <v>0</v>
      </c>
    </row>
    <row r="56" spans="1:10" ht="17" x14ac:dyDescent="0.2">
      <c r="A56" s="37" t="s">
        <v>206</v>
      </c>
      <c r="B56" s="27">
        <v>2.2000000000000002</v>
      </c>
      <c r="C56" s="10">
        <v>56</v>
      </c>
      <c r="D56" s="38">
        <v>1</v>
      </c>
      <c r="E56" s="39">
        <v>1</v>
      </c>
      <c r="F56" s="39">
        <v>0</v>
      </c>
      <c r="G56" s="39">
        <v>1</v>
      </c>
      <c r="H56" s="39">
        <v>1</v>
      </c>
      <c r="I56" s="39">
        <v>1</v>
      </c>
      <c r="J56" s="39">
        <v>0</v>
      </c>
    </row>
    <row r="57" spans="1:10" ht="17" x14ac:dyDescent="0.2">
      <c r="A57" s="34" t="s">
        <v>207</v>
      </c>
      <c r="B57" s="25">
        <v>2.1</v>
      </c>
      <c r="C57" s="10">
        <v>57</v>
      </c>
      <c r="D57" s="40">
        <v>1</v>
      </c>
      <c r="E57" s="41">
        <v>1</v>
      </c>
      <c r="F57" s="41">
        <v>0</v>
      </c>
      <c r="G57" s="41">
        <v>0</v>
      </c>
      <c r="H57" s="41">
        <v>1</v>
      </c>
      <c r="I57" s="41">
        <v>0</v>
      </c>
      <c r="J57" s="41">
        <v>0</v>
      </c>
    </row>
    <row r="58" spans="1:10" ht="17" x14ac:dyDescent="0.2">
      <c r="A58" s="42" t="s">
        <v>223</v>
      </c>
      <c r="B58" s="43"/>
      <c r="C58" s="43"/>
      <c r="D58" s="33">
        <f t="shared" ref="D58:J58" si="0">SUM(D2:D57)</f>
        <v>42</v>
      </c>
      <c r="E58" s="29">
        <f t="shared" si="0"/>
        <v>48</v>
      </c>
      <c r="F58" s="29">
        <f t="shared" si="0"/>
        <v>15</v>
      </c>
      <c r="G58" s="29">
        <f t="shared" si="0"/>
        <v>10</v>
      </c>
      <c r="H58" s="29">
        <f t="shared" si="0"/>
        <v>53</v>
      </c>
      <c r="I58" s="29">
        <f t="shared" si="0"/>
        <v>33</v>
      </c>
      <c r="J58" s="29">
        <f t="shared" si="0"/>
        <v>3</v>
      </c>
    </row>
    <row r="59" spans="1:10" ht="17" x14ac:dyDescent="0.2">
      <c r="A59" s="44" t="s">
        <v>224</v>
      </c>
      <c r="B59" s="45"/>
      <c r="C59" s="46"/>
      <c r="D59" s="47">
        <v>2.8299999999999999E-2</v>
      </c>
      <c r="E59" s="48">
        <v>0.08</v>
      </c>
      <c r="F59" s="48">
        <v>4.9000000000000002E-2</v>
      </c>
      <c r="G59" s="48">
        <v>5.7000000000000002E-2</v>
      </c>
      <c r="H59" s="48">
        <v>0.109</v>
      </c>
      <c r="I59" s="48">
        <v>0.11</v>
      </c>
      <c r="J59" s="48">
        <v>1.2E-2</v>
      </c>
    </row>
    <row r="60" spans="1:10" ht="102" x14ac:dyDescent="0.2">
      <c r="A60" s="49" t="s">
        <v>225</v>
      </c>
      <c r="B60" s="50"/>
      <c r="C60" s="50"/>
      <c r="E60" s="51"/>
      <c r="F60" s="51"/>
      <c r="G60" s="51"/>
      <c r="H60" s="51"/>
      <c r="I60" s="51"/>
      <c r="J60" s="51"/>
    </row>
    <row r="61" spans="1:10" x14ac:dyDescent="0.2">
      <c r="A61" s="52" t="s">
        <v>15</v>
      </c>
      <c r="B61" s="53"/>
      <c r="C61" s="53"/>
      <c r="E61" s="51"/>
      <c r="F61" s="51"/>
      <c r="G61" s="51"/>
      <c r="H61" s="51"/>
      <c r="I61" s="51"/>
      <c r="J61" s="51"/>
    </row>
    <row r="62" spans="1:10" ht="18" x14ac:dyDescent="0.2">
      <c r="A62" s="54"/>
      <c r="B62" s="55"/>
      <c r="C62" s="55"/>
      <c r="E62" s="51"/>
      <c r="F62" s="56"/>
      <c r="G62" s="51"/>
      <c r="H62" s="51"/>
      <c r="I62" s="51"/>
      <c r="J62" s="51"/>
    </row>
    <row r="63" spans="1:10" x14ac:dyDescent="0.2">
      <c r="A63" s="21"/>
    </row>
  </sheetData>
  <hyperlinks>
    <hyperlink ref="A2" r:id="rId1" location="text-equiv-all" display="http://www.w3.org/TR/WCAG20/ - text-equiv-all" xr:uid="{5C5E5B7E-0A01-164B-A386-B4EFA31887CA}"/>
    <hyperlink ref="A3" r:id="rId2" location="media-equiv-av-only-alt" display="http://www.w3.org/TR/WCAG20/ - media-equiv-av-only-alt" xr:uid="{EE6D899A-2578-7641-B08A-340A1CFF21C3}"/>
    <hyperlink ref="A4" r:id="rId3" location="media-equiv-captions" display="http://www.w3.org/TR/WCAG20/ - media-equiv-captions" xr:uid="{98BCFB31-6393-DC44-839D-5FEC1709F920}"/>
    <hyperlink ref="A5" r:id="rId4" location="media-equiv-audio-desc" display="http://www.w3.org/TR/WCAG20/ - media-equiv-audio-desc" xr:uid="{B3DEB882-696B-1E40-8CDA-D7EFF865398B}"/>
    <hyperlink ref="A6" r:id="rId5" location="content-structure-separation-programmatic" display="http://www.w3.org/TR/WCAG20/ - content-structure-separation-programmatic" xr:uid="{ABB27E02-036A-DC4D-9F97-6811C56A83B0}"/>
    <hyperlink ref="A7" r:id="rId6" location="content-structure-separation-sequence" display="http://www.w3.org/TR/WCAG20/ - content-structure-separation-sequence" xr:uid="{58B9CECF-0A04-4345-AFC2-FFA1117482E7}"/>
    <hyperlink ref="A8" r:id="rId7" location="content-structure-separation-understanding" display="http://www.w3.org/TR/WCAG20/ - content-structure-separation-understanding" xr:uid="{A4194ADD-FC3F-8A41-82CF-F35A24EFB5AE}"/>
    <hyperlink ref="A9" r:id="rId8" location="visual-audio-contrast-without-color" display="http://www.w3.org/TR/WCAG20/ - visual-audio-contrast-without-color" xr:uid="{4BAE9EE0-3098-0047-AC7E-78D358B93CA0}"/>
    <hyperlink ref="A10" r:id="rId9" location="visual-audio-contrast-dis-audio" display="http://www.w3.org/TR/WCAG20/ - visual-audio-contrast-dis-audio" xr:uid="{6E569EEC-92CB-D748-A46F-154BA3B35C25}"/>
    <hyperlink ref="A11" r:id="rId10" location="keyboard-operation-keyboard-operable" display="http://www.w3.org/TR/WCAG20/ - keyboard-operation-keyboard-operable" xr:uid="{E14DA261-E1DB-7E46-8F89-408497C53CBC}"/>
    <hyperlink ref="A12" r:id="rId11" location="keyboard-operation-trapping" display="http://www.w3.org/TR/WCAG20/ - keyboard-operation-trapping" xr:uid="{64EA510A-D2CE-224C-B9FF-56C38D222EBC}"/>
    <hyperlink ref="A13" r:id="rId12" location="character-key-shortcuts" display="https://www.w3.org/TR/WCAG21/ - character-key-shortcuts" xr:uid="{13BD93A0-749D-834D-94E6-BE2ADE7130C4}"/>
    <hyperlink ref="A14" r:id="rId13" location="time-limits-required-behaviors" display="http://www.w3.org/TR/WCAG20/ - time-limits-required-behaviors" xr:uid="{530314AA-880A-1740-984D-026FF2FB49A7}"/>
    <hyperlink ref="A15" r:id="rId14" location="time-limits-pause" display="http://www.w3.org/TR/WCAG20/ - time-limits-pause" xr:uid="{A8D938A8-3C60-2D40-A3F2-35336DFE1AD7}"/>
    <hyperlink ref="A16" r:id="rId15" location="seizure-does-not-violate" display="http://www.w3.org/TR/WCAG20/ - seizure-does-not-violate" xr:uid="{9BF6D18E-2F59-0D4B-A3A7-BE624CDB3B33}"/>
    <hyperlink ref="A17" r:id="rId16" location="navigation-mechanisms-skip" display="http://www.w3.org/TR/WCAG20/ - navigation-mechanisms-skip" xr:uid="{5225E366-5940-A246-97CB-F60D8589ACDF}"/>
    <hyperlink ref="A18" r:id="rId17" location="navigation-mechanisms-title" display="http://www.w3.org/TR/WCAG20/ - navigation-mechanisms-title" xr:uid="{6C658BF3-7577-184B-8AF2-0D5D7A7FBFCA}"/>
    <hyperlink ref="A19" r:id="rId18" location="navigation-mechanisms-focus-order" display="http://www.w3.org/TR/WCAG20/ - navigation-mechanisms-focus-order" xr:uid="{46AB56E3-C70F-A94E-91D3-136014C0228D}"/>
    <hyperlink ref="A20" r:id="rId19" location="navigation-mechanisms-refs" display="http://www.w3.org/TR/WCAG20/ - navigation-mechanisms-refs" xr:uid="{2F4EEAD4-6B2D-0F40-81C2-24559D1211F3}"/>
    <hyperlink ref="A21" r:id="rId20" location="pointer-gestures" display="https://www.w3.org/TR/WCAG21/ - pointer-gestures" xr:uid="{8025636C-39FF-BB4D-B0AF-7A5E85E8307F}"/>
    <hyperlink ref="A22" r:id="rId21" location="pointer-cancellation" display="https://www.w3.org/TR/WCAG21/ - pointer-cancellation" xr:uid="{F3A19B79-1910-D94B-9811-A9785071B143}"/>
    <hyperlink ref="A23" r:id="rId22" location="label-in-name" display="https://www.w3.org/TR/WCAG21/ - label-in-name" xr:uid="{1520BA3F-474A-6540-885E-7B8EC8E0F78D}"/>
    <hyperlink ref="A24" r:id="rId23" location="motion-actuation" display="https://www.w3.org/TR/WCAG21/ - motion-actuation" xr:uid="{569BBD01-1CF1-5042-BAF7-A1E4E5C012FB}"/>
    <hyperlink ref="A25" r:id="rId24" location="meaning-doc-lang-id" display="http://www.w3.org/TR/WCAG20/ - meaning-doc-lang-id" xr:uid="{559A7F79-11D0-9742-8042-0A56F0162234}"/>
    <hyperlink ref="A26" r:id="rId25" location="consistent-behavior-receive-focus" display="http://www.w3.org/TR/WCAG20/ - consistent-behavior-receive-focus" xr:uid="{F9C26F73-209A-CB4B-9BF3-62FD1579B38A}"/>
    <hyperlink ref="A27" r:id="rId26" location="consistent-behavior-unpredictable-change" display="http://www.w3.org/TR/WCAG20/ - consistent-behavior-unpredictable-change" xr:uid="{7CDB27D3-A470-9240-9D2F-6A18A2EF8EEB}"/>
    <hyperlink ref="A28" r:id="rId27" location="consistent-help" xr:uid="{C2876A90-BD89-F84F-B510-B307596D6498}"/>
    <hyperlink ref="A29" r:id="rId28" location="minimize-error-identified" display="http://www.w3.org/TR/WCAG20/ - minimize-error-identified" xr:uid="{1540DD2C-0357-D647-8E6F-94FD6915D092}"/>
    <hyperlink ref="A30" r:id="rId29" location="minimize-error-cues" display="http://www.w3.org/TR/WCAG20/ - minimize-error-cues" xr:uid="{ED0E2760-FDD9-AA4B-A16A-805DB7A0C3DF}"/>
    <hyperlink ref="A31" r:id="rId30" location="redundant-entry" display="3.3.7 Redundent Entry" xr:uid="{D6CA0D28-629A-F340-9983-C81D09E795DE}"/>
    <hyperlink ref="A32" r:id="rId31" location="ensure-compat-parses" display="http://www.w3.org/TR/WCAG20/ - ensure-compat-parses" xr:uid="{8B6AFA9C-4EA2-E24D-BA7A-6C56033A55BA}"/>
    <hyperlink ref="A33" r:id="rId32" location="ensure-compat-rsv" display="http://www.w3.org/TR/WCAG20/ - ensure-compat-rsv" xr:uid="{0A741FD1-C1EA-8D48-8407-244EB2561E75}"/>
    <hyperlink ref="A34" r:id="rId33" location="media-equiv-real-time-captions" display="http://www.w3.org/TR/WCAG20/ - media-equiv-real-time-captions" xr:uid="{8E1F9372-3F91-904B-A9BF-1A6EB7688B2D}"/>
    <hyperlink ref="A35" r:id="rId34" location="media-equiv-audio-desc-only" display="http://www.w3.org/TR/WCAG20/ - media-equiv-audio-desc-only" xr:uid="{165CD5D4-801E-5F45-B357-65D1BB9FF540}"/>
    <hyperlink ref="A36" r:id="rId35" location="orientation" display="https://www.w3.org/TR/WCAG21/ - orientation" xr:uid="{1790C2C3-106C-C242-8DA6-800630819E72}"/>
    <hyperlink ref="A37" r:id="rId36" location="identify-input-purpose" display="https://www.w3.org/TR/WCAG21/ - identify-input-purpose" xr:uid="{D9156111-7F7D-A344-9D52-A7732CCA05D1}"/>
    <hyperlink ref="A38" r:id="rId37" location="visual-audio-contrast-contrast" display="http://www.w3.org/TR/WCAG20/ - visual-audio-contrast-contrast" xr:uid="{F7F75F09-C5B9-2240-9FDA-FABC74984C2C}"/>
    <hyperlink ref="A39" r:id="rId38" location="focus-not-obscured-minimum" xr:uid="{BC7C60B5-2C2A-E645-AC51-B8D5953EB716}"/>
    <hyperlink ref="A40" r:id="rId39" location="visual-audio-contrast-scale" display="http://www.w3.org/TR/WCAG20/ - visual-audio-contrast-scale" xr:uid="{D8A66CF2-FBA0-684D-B550-A765C7A11623}"/>
    <hyperlink ref="A41" r:id="rId40" location="visual-audio-contrast-text-presentation" display="http://www.w3.org/TR/WCAG20/ - visual-audio-contrast-text-presentation" xr:uid="{81A028BA-F222-FE46-BC25-4C68DE49BDCE}"/>
    <hyperlink ref="A42" r:id="rId41" location="reflow" display="https://www.w3.org/TR/WCAG21/ - reflow" xr:uid="{EAFF2536-0D5C-9846-B376-890767E334BB}"/>
    <hyperlink ref="A43" r:id="rId42" location="non-text-contrast" display="https://www.w3.org/TR/WCAG21/ - non-text-contrast" xr:uid="{BD797932-44EA-D344-8EE9-EC81AA9B75E6}"/>
    <hyperlink ref="A44" r:id="rId43" location="text-spacing" display="https://www.w3.org/TR/WCAG21/ - text-spacing" xr:uid="{E93A6B86-B2D7-FF43-880C-3801BE4973E4}"/>
    <hyperlink ref="A45" r:id="rId44" location="content-on-hover-or-focus" display="https://www.w3.org/TR/WCAG21/ - content-on-hover-or-focus" xr:uid="{059E1713-311D-CE46-BCD6-766C710D294A}"/>
    <hyperlink ref="A46" r:id="rId45" location="navigation-mechanisms-mult-loc" display="http://www.w3.org/TR/WCAG20/ - navigation-mechanisms-mult-loc" xr:uid="{660742B8-E64C-D744-863E-CB6227348843}"/>
    <hyperlink ref="A47" r:id="rId46" location="navigation-mechanisms-descriptive" display="http://www.w3.org/TR/WCAG20/ - navigation-mechanisms-descriptive" xr:uid="{D52E4E00-BE7E-A547-87EB-42BEAAD8FB5B}"/>
    <hyperlink ref="A48" r:id="rId47" location="navigation-mechanisms-focus-visible" display="http://www.w3.org/TR/WCAG20/ - navigation-mechanisms-focus-visible" xr:uid="{0D97B296-0851-BE46-986D-CE8B2EC519D2}"/>
    <hyperlink ref="A49" r:id="rId48" location="dragging-movements" xr:uid="{8FF26CF0-6091-F340-98C0-732D13F55566}"/>
    <hyperlink ref="A50" r:id="rId49" location="target-size-minimum" display="2.5.8 Target Size (Level AA, 2.2" xr:uid="{D581F6F2-9B29-EA47-BF48-C9AF343B4C44}"/>
    <hyperlink ref="A51" r:id="rId50" location="meaning-other-lang-id" display="http://www.w3.org/TR/WCAG20/ - meaning-other-lang-id" xr:uid="{98F831F4-D363-6F44-8F2B-B822021B2765}"/>
    <hyperlink ref="A52" r:id="rId51" location="consistent-behavior-consistent-locations" display="http://www.w3.org/TR/WCAG20/ - consistent-behavior-consistent-locations" xr:uid="{C5E4A3BB-0413-2F49-B2F3-CCF957179544}"/>
    <hyperlink ref="A53" r:id="rId52" location="consistent-behavior-consistent-functionality" display="http://www.w3.org/TR/WCAG20/ - consistent-behavior-consistent-functionality" xr:uid="{B8E5B7EA-5C00-5244-9A36-5A7C93713E9D}"/>
    <hyperlink ref="A54" r:id="rId53" location="minimize-error-suggestions" display="http://www.w3.org/TR/WCAG20/ - minimize-error-suggestions" xr:uid="{B40305A0-E62B-E045-8C00-9DC74EC8C0DC}"/>
    <hyperlink ref="A55" r:id="rId54" location="minimize-error-reversible" display="http://www.w3.org/TR/WCAG20/ - minimize-error-reversible" xr:uid="{67BD9BC6-BBE3-AA4E-B21E-DB4DA4D526A2}"/>
    <hyperlink ref="A56" r:id="rId55" location="accessible-authentication-minimum" xr:uid="{EBD9C090-C310-6D45-B746-CD60A5C0810A}"/>
    <hyperlink ref="A57" r:id="rId56" location="status-messages" display="https://www.w3.org/TR/WCAG21/ - status-messages" xr:uid="{D78A2F9F-2C69-B54B-8CD7-C77B35971236}"/>
  </hyperlinks>
  <pageMargins left="0.7" right="0.7" top="0.75" bottom="0.75" header="0.3" footer="0.3"/>
  <tableParts count="1">
    <tablePart r:id="rId5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47B2-AEE3-8D4E-AF7D-CECA1E5C06CA}">
  <dimension ref="A1:B57"/>
  <sheetViews>
    <sheetView workbookViewId="0">
      <selection sqref="A1:XFD1048576"/>
    </sheetView>
  </sheetViews>
  <sheetFormatPr baseColWidth="10" defaultColWidth="9.42578125" defaultRowHeight="16" x14ac:dyDescent="0.2"/>
  <cols>
    <col min="1" max="1" width="74.5703125" customWidth="1"/>
    <col min="2" max="2" width="15.28515625" style="10" customWidth="1"/>
  </cols>
  <sheetData>
    <row r="1" spans="1:2" ht="17" x14ac:dyDescent="0.2">
      <c r="A1" s="12" t="s">
        <v>226</v>
      </c>
      <c r="B1" s="13" t="s">
        <v>227</v>
      </c>
    </row>
    <row r="2" spans="1:2" ht="17" x14ac:dyDescent="0.2">
      <c r="A2" s="14" t="s">
        <v>188</v>
      </c>
      <c r="B2" s="10">
        <v>1</v>
      </c>
    </row>
    <row r="3" spans="1:2" ht="17" x14ac:dyDescent="0.2">
      <c r="A3" s="14" t="s">
        <v>157</v>
      </c>
      <c r="B3" s="10">
        <v>2</v>
      </c>
    </row>
    <row r="4" spans="1:2" ht="17" x14ac:dyDescent="0.2">
      <c r="A4" s="14" t="s">
        <v>189</v>
      </c>
      <c r="B4" s="10">
        <v>3</v>
      </c>
    </row>
    <row r="5" spans="1:2" ht="17" x14ac:dyDescent="0.2">
      <c r="A5" s="14" t="s">
        <v>196</v>
      </c>
      <c r="B5" s="10">
        <v>4</v>
      </c>
    </row>
    <row r="6" spans="1:2" ht="17" x14ac:dyDescent="0.2">
      <c r="A6" s="14" t="s">
        <v>159</v>
      </c>
      <c r="B6" s="10">
        <v>5</v>
      </c>
    </row>
    <row r="7" spans="1:2" ht="17" x14ac:dyDescent="0.2">
      <c r="A7" s="14" t="s">
        <v>160</v>
      </c>
      <c r="B7" s="10">
        <v>6</v>
      </c>
    </row>
    <row r="8" spans="1:2" ht="17" x14ac:dyDescent="0.2">
      <c r="A8" s="14" t="s">
        <v>154</v>
      </c>
      <c r="B8" s="10">
        <v>7</v>
      </c>
    </row>
    <row r="9" spans="1:2" ht="17" x14ac:dyDescent="0.2">
      <c r="A9" s="14" t="s">
        <v>151</v>
      </c>
      <c r="B9" s="10">
        <v>8</v>
      </c>
    </row>
    <row r="10" spans="1:2" ht="17" x14ac:dyDescent="0.2">
      <c r="A10" s="14" t="s">
        <v>149</v>
      </c>
      <c r="B10" s="10">
        <v>9</v>
      </c>
    </row>
    <row r="11" spans="1:2" ht="17" x14ac:dyDescent="0.2">
      <c r="A11" s="14" t="s">
        <v>152</v>
      </c>
      <c r="B11" s="10">
        <v>10</v>
      </c>
    </row>
    <row r="12" spans="1:2" ht="17" x14ac:dyDescent="0.2">
      <c r="A12" s="14" t="s">
        <v>164</v>
      </c>
      <c r="B12" s="10">
        <v>11</v>
      </c>
    </row>
    <row r="13" spans="1:2" ht="17" x14ac:dyDescent="0.2">
      <c r="A13" s="14" t="s">
        <v>184</v>
      </c>
      <c r="B13" s="10">
        <v>12</v>
      </c>
    </row>
    <row r="14" spans="1:2" ht="17" x14ac:dyDescent="0.2">
      <c r="A14" s="14" t="s">
        <v>185</v>
      </c>
      <c r="B14" s="10">
        <v>13</v>
      </c>
    </row>
    <row r="15" spans="1:2" ht="17" x14ac:dyDescent="0.2">
      <c r="A15" s="14" t="s">
        <v>197</v>
      </c>
      <c r="B15" s="10">
        <v>14</v>
      </c>
    </row>
    <row r="16" spans="1:2" ht="17" x14ac:dyDescent="0.2">
      <c r="A16" s="14" t="s">
        <v>146</v>
      </c>
      <c r="B16" s="10">
        <v>15</v>
      </c>
    </row>
    <row r="17" spans="1:2" ht="17" x14ac:dyDescent="0.2">
      <c r="A17" s="14" t="s">
        <v>153</v>
      </c>
      <c r="B17" s="10">
        <v>16</v>
      </c>
    </row>
    <row r="18" spans="1:2" ht="17" x14ac:dyDescent="0.2">
      <c r="A18" s="14" t="s">
        <v>158</v>
      </c>
      <c r="B18" s="10">
        <v>17</v>
      </c>
    </row>
    <row r="19" spans="1:2" ht="17" x14ac:dyDescent="0.2">
      <c r="A19" s="14" t="s">
        <v>162</v>
      </c>
      <c r="B19" s="10">
        <v>18</v>
      </c>
    </row>
    <row r="20" spans="1:2" ht="17" x14ac:dyDescent="0.2">
      <c r="A20" s="14" t="s">
        <v>163</v>
      </c>
      <c r="B20" s="10">
        <v>19</v>
      </c>
    </row>
    <row r="21" spans="1:2" ht="17" x14ac:dyDescent="0.2">
      <c r="A21" s="14" t="s">
        <v>167</v>
      </c>
      <c r="B21" s="10">
        <v>20</v>
      </c>
    </row>
    <row r="22" spans="1:2" ht="17" x14ac:dyDescent="0.2">
      <c r="A22" s="14" t="s">
        <v>168</v>
      </c>
      <c r="B22" s="10">
        <v>21</v>
      </c>
    </row>
    <row r="23" spans="1:2" ht="17" x14ac:dyDescent="0.2">
      <c r="A23" s="14" t="s">
        <v>174</v>
      </c>
      <c r="B23" s="10">
        <v>22</v>
      </c>
    </row>
    <row r="24" spans="1:2" ht="17" x14ac:dyDescent="0.2">
      <c r="A24" s="14" t="s">
        <v>175</v>
      </c>
      <c r="B24" s="10">
        <v>23</v>
      </c>
    </row>
    <row r="25" spans="1:2" ht="17" x14ac:dyDescent="0.2">
      <c r="A25" s="14" t="s">
        <v>178</v>
      </c>
      <c r="B25" s="10">
        <v>24</v>
      </c>
    </row>
    <row r="26" spans="1:2" ht="17" x14ac:dyDescent="0.2">
      <c r="A26" s="14" t="s">
        <v>179</v>
      </c>
      <c r="B26" s="10">
        <v>25</v>
      </c>
    </row>
    <row r="27" spans="1:2" ht="17" x14ac:dyDescent="0.2">
      <c r="A27" s="14" t="s">
        <v>183</v>
      </c>
      <c r="B27" s="10">
        <v>26</v>
      </c>
    </row>
    <row r="28" spans="1:2" ht="17" x14ac:dyDescent="0.2">
      <c r="A28" s="14" t="s">
        <v>165</v>
      </c>
      <c r="B28" s="10">
        <v>27</v>
      </c>
    </row>
    <row r="29" spans="1:2" ht="17" x14ac:dyDescent="0.2">
      <c r="A29" s="14" t="s">
        <v>166</v>
      </c>
      <c r="B29" s="10">
        <v>28</v>
      </c>
    </row>
    <row r="30" spans="1:2" ht="17" x14ac:dyDescent="0.2">
      <c r="A30" s="14" t="s">
        <v>187</v>
      </c>
      <c r="B30" s="10">
        <v>29</v>
      </c>
    </row>
    <row r="31" spans="1:2" ht="17" x14ac:dyDescent="0.2">
      <c r="A31" s="14" t="s">
        <v>190</v>
      </c>
      <c r="B31" s="10">
        <v>30</v>
      </c>
    </row>
    <row r="32" spans="1:2" ht="17" x14ac:dyDescent="0.2">
      <c r="A32" s="14" t="s">
        <v>202</v>
      </c>
      <c r="B32" s="10">
        <v>31</v>
      </c>
    </row>
    <row r="33" spans="1:2" ht="17" x14ac:dyDescent="0.2">
      <c r="A33" s="14" t="s">
        <v>203</v>
      </c>
      <c r="B33" s="10">
        <v>32</v>
      </c>
    </row>
    <row r="34" spans="1:2" ht="17" x14ac:dyDescent="0.2">
      <c r="A34" s="14" t="s">
        <v>204</v>
      </c>
      <c r="B34" s="10">
        <v>33</v>
      </c>
    </row>
    <row r="35" spans="1:2" ht="17" x14ac:dyDescent="0.2">
      <c r="A35" s="14" t="s">
        <v>205</v>
      </c>
      <c r="B35" s="10">
        <v>34</v>
      </c>
    </row>
    <row r="36" spans="1:2" ht="17" x14ac:dyDescent="0.2">
      <c r="A36" s="14" t="s">
        <v>201</v>
      </c>
      <c r="B36" s="10">
        <v>35</v>
      </c>
    </row>
    <row r="37" spans="1:2" ht="17" x14ac:dyDescent="0.2">
      <c r="A37" s="14" t="s">
        <v>195</v>
      </c>
      <c r="B37" s="10">
        <v>36</v>
      </c>
    </row>
    <row r="38" spans="1:2" ht="17" x14ac:dyDescent="0.2">
      <c r="A38" s="14" t="s">
        <v>228</v>
      </c>
      <c r="B38" s="10">
        <v>37</v>
      </c>
    </row>
    <row r="39" spans="1:2" ht="17" x14ac:dyDescent="0.2">
      <c r="A39" s="14" t="s">
        <v>161</v>
      </c>
      <c r="B39" s="10">
        <v>38</v>
      </c>
    </row>
    <row r="40" spans="1:2" ht="17" x14ac:dyDescent="0.2">
      <c r="A40" s="14" t="s">
        <v>156</v>
      </c>
      <c r="B40" s="10">
        <v>39</v>
      </c>
    </row>
    <row r="41" spans="1:2" ht="17" x14ac:dyDescent="0.2">
      <c r="A41" s="14" t="s">
        <v>191</v>
      </c>
      <c r="B41" s="10">
        <v>40</v>
      </c>
    </row>
    <row r="42" spans="1:2" ht="17" x14ac:dyDescent="0.2">
      <c r="A42" s="14" t="s">
        <v>192</v>
      </c>
      <c r="B42" s="10">
        <v>41</v>
      </c>
    </row>
    <row r="43" spans="1:2" ht="17" x14ac:dyDescent="0.2">
      <c r="A43" s="14" t="s">
        <v>193</v>
      </c>
      <c r="B43" s="10">
        <v>42</v>
      </c>
    </row>
    <row r="44" spans="1:2" ht="17" x14ac:dyDescent="0.2">
      <c r="A44" s="14" t="s">
        <v>194</v>
      </c>
      <c r="B44" s="10">
        <v>43</v>
      </c>
    </row>
    <row r="45" spans="1:2" ht="17" x14ac:dyDescent="0.2">
      <c r="A45" s="14" t="s">
        <v>229</v>
      </c>
      <c r="B45" s="10">
        <v>44</v>
      </c>
    </row>
    <row r="46" spans="1:2" ht="17" x14ac:dyDescent="0.2">
      <c r="A46" s="14" t="s">
        <v>169</v>
      </c>
      <c r="B46" s="10">
        <v>45</v>
      </c>
    </row>
    <row r="47" spans="1:2" ht="17" x14ac:dyDescent="0.2">
      <c r="A47" s="14" t="s">
        <v>170</v>
      </c>
      <c r="B47" s="10">
        <v>46</v>
      </c>
    </row>
    <row r="48" spans="1:2" ht="17" x14ac:dyDescent="0.2">
      <c r="A48" s="14" t="s">
        <v>171</v>
      </c>
      <c r="B48" s="10">
        <v>47</v>
      </c>
    </row>
    <row r="49" spans="1:2" ht="17" x14ac:dyDescent="0.2">
      <c r="A49" s="14" t="s">
        <v>172</v>
      </c>
      <c r="B49" s="10">
        <v>48</v>
      </c>
    </row>
    <row r="50" spans="1:2" ht="17" x14ac:dyDescent="0.2">
      <c r="A50" s="14" t="s">
        <v>173</v>
      </c>
      <c r="B50" s="10">
        <v>49</v>
      </c>
    </row>
    <row r="51" spans="1:2" ht="17" x14ac:dyDescent="0.2">
      <c r="A51" s="15" t="s">
        <v>176</v>
      </c>
      <c r="B51" s="10">
        <v>50</v>
      </c>
    </row>
    <row r="52" spans="1:2" ht="17" x14ac:dyDescent="0.2">
      <c r="A52" s="15" t="s">
        <v>180</v>
      </c>
      <c r="B52" s="10">
        <v>51</v>
      </c>
    </row>
    <row r="53" spans="1:2" ht="17" x14ac:dyDescent="0.2">
      <c r="A53" s="16" t="s">
        <v>199</v>
      </c>
      <c r="B53" s="10">
        <v>52</v>
      </c>
    </row>
    <row r="54" spans="1:2" ht="17" x14ac:dyDescent="0.2">
      <c r="A54" s="16" t="s">
        <v>230</v>
      </c>
      <c r="B54" s="10">
        <v>53</v>
      </c>
    </row>
    <row r="55" spans="1:2" ht="17" x14ac:dyDescent="0.2">
      <c r="A55" s="16" t="s">
        <v>206</v>
      </c>
      <c r="B55" s="10">
        <v>54</v>
      </c>
    </row>
    <row r="56" spans="1:2" ht="17" x14ac:dyDescent="0.2">
      <c r="A56" s="16" t="s">
        <v>198</v>
      </c>
      <c r="B56" s="10">
        <v>55</v>
      </c>
    </row>
    <row r="57" spans="1:2" ht="17" x14ac:dyDescent="0.2">
      <c r="A57" s="17" t="s">
        <v>181</v>
      </c>
      <c r="B57" s="10" t="s">
        <v>231</v>
      </c>
    </row>
  </sheetData>
  <hyperlinks>
    <hyperlink ref="A2" r:id="rId1" location="visual-audio-contrast-contrast" display="http://www.w3.org/TR/WCAG20/ - visual-audio-contrast-contrast" xr:uid="{30A4BAD7-DA7C-E94D-A977-80E1D587565D}"/>
    <hyperlink ref="A3" r:id="rId2" location="visual-audio-contrast-without-color" display="http://www.w3.org/TR/WCAG20/ - visual-audio-contrast-without-color" xr:uid="{000E683E-0C01-3348-865D-A1100ACDAE60}"/>
    <hyperlink ref="A4" r:id="rId3" location="visual-audio-contrast-scale" display="http://www.w3.org/TR/WCAG20/ - visual-audio-contrast-scale" xr:uid="{D06CF23F-605A-AB48-9AB2-1B9494B597D1}"/>
    <hyperlink ref="A5" r:id="rId4" location="navigation-mechanisms-descriptive" display="http://www.w3.org/TR/WCAG20/ - navigation-mechanisms-descriptive" xr:uid="{0B039938-0506-014B-9A2F-ABFE8A214FEB}"/>
    <hyperlink ref="A6" r:id="rId5" location="keyboard-operation-keyboard-operable" display="http://www.w3.org/TR/WCAG20/ - keyboard-operation-keyboard-operable" xr:uid="{A89A1C76-1CF7-6C43-8A8C-637B19B6913E}"/>
    <hyperlink ref="A7" r:id="rId6" location="keyboard-operation-trapping" display="http://www.w3.org/TR/WCAG20/ - keyboard-operation-trapping" xr:uid="{1A22A44D-9417-1D47-98C4-876570F9D55E}"/>
    <hyperlink ref="A8" r:id="rId7" location="content-structure-separation-sequence" display="http://www.w3.org/TR/WCAG20/ - content-structure-separation-sequence" xr:uid="{C2A13BE5-6F37-A242-8AF0-9BE854B61DC3}"/>
    <hyperlink ref="A9" r:id="rId8" location="media-equiv-captions" display="http://www.w3.org/TR/WCAG20/ - media-equiv-captions" xr:uid="{20D6E64F-3C68-A74A-B6EB-990157EE6D9D}"/>
    <hyperlink ref="A10" r:id="rId9" location="media-equiv-av-only-alt" display="http://www.w3.org/TR/WCAG20/ - media-equiv-av-only-alt" xr:uid="{B6A2AC3F-353F-1C4F-A9A8-47C160957E5A}"/>
    <hyperlink ref="A11" r:id="rId10" location="media-equiv-audio-desc" display="http://www.w3.org/TR/WCAG20/ - media-equiv-audio-desc" xr:uid="{AAC5A608-1212-7044-A2A7-5657CFFC22B5}"/>
    <hyperlink ref="A12" r:id="rId11" location="seizure-does-not-violate" display="http://www.w3.org/TR/WCAG20/ - seizure-does-not-violate" xr:uid="{292C1699-F6AB-294A-962C-0717B4474E85}"/>
    <hyperlink ref="A13" r:id="rId12" location="media-equiv-real-time-captions" display="http://www.w3.org/TR/WCAG20/ - media-equiv-real-time-captions" xr:uid="{767CE886-3BA9-BC4E-8FA1-1FEDA4039BDA}"/>
    <hyperlink ref="A14" r:id="rId13" location="media-equiv-audio-desc-only" display="http://www.w3.org/TR/WCAG20/ - media-equiv-audio-desc-only" xr:uid="{6AAF3AF7-BD2B-9140-980C-B30DEFF4330B}"/>
    <hyperlink ref="A15" r:id="rId14" location="navigation-mechanisms-focus-visible" display="http://www.w3.org/TR/WCAG20/ - navigation-mechanisms-focus-visible" xr:uid="{8F200B8C-48AF-1C40-830A-BA57B0B56641}"/>
    <hyperlink ref="A16" r:id="rId15" location="text-equiv-all" display="http://www.w3.org/TR/WCAG20/ - text-equiv-all" xr:uid="{7579FDB5-893C-9544-9E38-325A628B64CC}"/>
    <hyperlink ref="A17" r:id="rId16" location="content-structure-separation-programmatic" display="http://www.w3.org/TR/WCAG20/ - content-structure-separation-programmatic" xr:uid="{E2165E8E-ABD2-5849-B300-4D2FE16A8CA4}"/>
    <hyperlink ref="A18" r:id="rId17" location="visual-audio-contrast-dis-audio" display="http://www.w3.org/TR/WCAG20/ - visual-audio-contrast-dis-audio" xr:uid="{A4A02852-BAA8-CB48-A912-C048B9D5DAE5}"/>
    <hyperlink ref="A19" r:id="rId18" location="time-limits-required-behaviors" display="http://www.w3.org/TR/WCAG20/ - time-limits-required-behaviors" xr:uid="{B3F007EE-A9E9-E940-AB30-27D74B8132C1}"/>
    <hyperlink ref="A20" r:id="rId19" location="time-limits-pause" display="http://www.w3.org/TR/WCAG20/ - time-limits-pause" xr:uid="{FC9B023F-47F5-0241-9101-1FEB2F228FCC}"/>
    <hyperlink ref="A21" r:id="rId20" location="navigation-mechanisms-focus-order" display="http://www.w3.org/TR/WCAG20/ - navigation-mechanisms-focus-order" xr:uid="{BCC8EA79-B03A-D347-8188-AB1E98635736}"/>
    <hyperlink ref="A22" r:id="rId21" location="navigation-mechanisms-refs" display="http://www.w3.org/TR/WCAG20/ - navigation-mechanisms-refs" xr:uid="{8E537526-9B21-584C-BF9C-F0001EE7BC55}"/>
    <hyperlink ref="A23" r:id="rId22" location="consistent-behavior-receive-focus" display="http://www.w3.org/TR/WCAG20/ - consistent-behavior-receive-focus" xr:uid="{7A94E906-8308-DE4B-AC98-5471BBDB640A}"/>
    <hyperlink ref="A24" r:id="rId23" location="consistent-behavior-unpredictable-change" display="http://www.w3.org/TR/WCAG20/ - consistent-behavior-unpredictable-change" xr:uid="{BED646B9-B1D7-B44F-BA80-EF8E95D89D67}"/>
    <hyperlink ref="A25" r:id="rId24" location="minimize-error-identified" display="http://www.w3.org/TR/WCAG20/ - minimize-error-identified" xr:uid="{D4C5154A-B603-FC49-9934-A4A5B930D1CE}"/>
    <hyperlink ref="A26" r:id="rId25" location="minimize-error-cues" display="http://www.w3.org/TR/WCAG20/ - minimize-error-cues" xr:uid="{05EDC994-F9E5-524F-95FA-C2F9E3CE9C67}"/>
    <hyperlink ref="A27" r:id="rId26" location="ensure-compat-rsv" display="http://www.w3.org/TR/WCAG20/ - ensure-compat-rsv" xr:uid="{3B14868E-B4E8-F446-B03C-E80E9F341EA2}"/>
    <hyperlink ref="A28" r:id="rId27" location="navigation-mechanisms-skip" display="http://www.w3.org/TR/WCAG20/ - navigation-mechanisms-skip" xr:uid="{5C1BB03F-9BEF-334E-AB61-05AFBE6C5BB6}"/>
    <hyperlink ref="A29" r:id="rId28" location="navigation-mechanisms-title" display="http://www.w3.org/TR/WCAG20/ - navigation-mechanisms-title" xr:uid="{D0744BAB-2FBA-404E-9903-FEE1079B32AA}"/>
    <hyperlink ref="A30" r:id="rId29" location="identify-input-purpose" display="https://www.w3.org/TR/WCAG21/ - identify-input-purpose" xr:uid="{B7CDD958-46D7-0E47-BB4E-9F663814616E}"/>
    <hyperlink ref="A31" r:id="rId30" location="visual-audio-contrast-text-presentation" display="http://www.w3.org/TR/WCAG20/ - visual-audio-contrast-text-presentation" xr:uid="{4B56CCF8-8859-AC46-A19F-D0B1FF144B74}"/>
    <hyperlink ref="A32" r:id="rId31" location="consistent-behavior-consistent-locations" display="http://www.w3.org/TR/WCAG20/ - consistent-behavior-consistent-locations" xr:uid="{23D4565A-8F01-E849-8FD3-F0FF317E314D}"/>
    <hyperlink ref="A33" r:id="rId32" location="consistent-behavior-consistent-functionality" display="http://www.w3.org/TR/WCAG20/ - consistent-behavior-consistent-functionality" xr:uid="{1BEE279E-B46C-E247-B5AB-C716ED1D40A1}"/>
    <hyperlink ref="A34" r:id="rId33" location="minimize-error-suggestions" display="http://www.w3.org/TR/WCAG20/ - minimize-error-suggestions" xr:uid="{5C3761F3-6C23-1A48-BAB7-595891A480F5}"/>
    <hyperlink ref="A35" r:id="rId34" location="minimize-error-reversible" display="http://www.w3.org/TR/WCAG20/ - minimize-error-reversible" xr:uid="{1EE5B243-D8F9-9441-B107-A6107A8B6EC4}"/>
    <hyperlink ref="A36" r:id="rId35" location="meaning-other-lang-id" display="http://www.w3.org/TR/WCAG20/ - meaning-other-lang-id" xr:uid="{008AA93D-29B4-BC44-9B3E-18E392B9ECDB}"/>
    <hyperlink ref="A37" r:id="rId36" location="navigation-mechanisms-mult-loc" display="http://www.w3.org/TR/WCAG20/ - navigation-mechanisms-mult-loc" xr:uid="{3DEC80D4-66CA-F74E-BEAA-CF6D848EE238}"/>
    <hyperlink ref="A38" r:id="rId37" location="orientation" display="https://www.w3.org/TR/WCAG21/ - orientation" xr:uid="{9C5E3884-4AAB-7249-BCB2-F314DFECE842}"/>
    <hyperlink ref="A39" r:id="rId38" location="character-key-shortcuts" display="https://www.w3.org/TR/WCAG21/ - character-key-shortcuts" xr:uid="{8DF4EB29-B1F9-9142-8848-A55BF23D35DD}"/>
    <hyperlink ref="A40" r:id="rId39" location="content-structure-separation-understanding" display="http://www.w3.org/TR/WCAG20/ - content-structure-separation-understanding" xr:uid="{743B181B-7DE4-2644-8289-0D774DA89E80}"/>
    <hyperlink ref="A41" r:id="rId40" location="reflow" display="https://www.w3.org/TR/WCAG21/ - reflow" xr:uid="{C9FEAEAC-4B83-1644-95A0-D936709D0496}"/>
    <hyperlink ref="A42" r:id="rId41" location="non-text-contrast" display="https://www.w3.org/TR/WCAG21/ - non-text-contrast" xr:uid="{E858A5BA-A23C-BF49-9282-567CB5DD2A57}"/>
    <hyperlink ref="A43" r:id="rId42" location="text-spacing" display="https://www.w3.org/TR/WCAG21/ - text-spacing" xr:uid="{E98FD84D-82BB-8949-A2F5-4B0BE8793555}"/>
    <hyperlink ref="A44" r:id="rId43" location="content-on-hover-or-focus" display="https://www.w3.org/TR/WCAG21/ - content-on-hover-or-focus" xr:uid="{C8F5460F-D985-6041-9446-CD5535731829}"/>
    <hyperlink ref="A45" r:id="rId44" location="status-messages" display="https://www.w3.org/TR/WCAG21/ - status-messages" xr:uid="{0B5B8BC8-35F5-AA4B-9637-77A8A02CE37B}"/>
    <hyperlink ref="A46" r:id="rId45" location="pointer-gestures" display="https://www.w3.org/TR/WCAG21/ - pointer-gestures" xr:uid="{B4475BA9-2B83-E74C-A6CC-277AAEB2B5A8}"/>
    <hyperlink ref="A47" r:id="rId46" location="pointer-cancellation" display="https://www.w3.org/TR/WCAG21/ - pointer-cancellation" xr:uid="{1D35E77F-086D-524C-8AEC-439A7DD90A81}"/>
    <hyperlink ref="A48" r:id="rId47" location="label-in-name" display="https://www.w3.org/TR/WCAG21/ - label-in-name" xr:uid="{C095FC66-3E30-4E42-8D90-43DFD72CE19F}"/>
    <hyperlink ref="A49" r:id="rId48" location="motion-actuation" display="https://www.w3.org/TR/WCAG21/ - motion-actuation" xr:uid="{4797E3F3-DA87-7D4D-93CF-CEC2372F4A04}"/>
    <hyperlink ref="A50" r:id="rId49" location="meaning-doc-lang-id" display="http://www.w3.org/TR/WCAG20/ - meaning-doc-lang-id" xr:uid="{38CBBF1F-3882-9445-95B6-7079B11C5865}"/>
    <hyperlink ref="A51" r:id="rId50" location="consistent-help" xr:uid="{DD0A6BB6-F7F7-5B4A-827C-5569B04328FB}"/>
    <hyperlink ref="A52" r:id="rId51" location="redundant-entry" display="3.3.7 Redundent Entry" xr:uid="{EBA1CEDB-9960-594C-8549-F7DFA9C694FC}"/>
    <hyperlink ref="A53" r:id="rId52" location="dragging-movements" xr:uid="{CEF1546C-1C4B-C749-99D2-F5D41A77B798}"/>
    <hyperlink ref="A54" r:id="rId53" location="target-size-minimum" xr:uid="{5BF690BB-F7FD-0647-A20A-72B10A12ACD7}"/>
    <hyperlink ref="A55" r:id="rId54" location="accessible-authentication-minimum" xr:uid="{759D678D-26D3-5E43-ADC3-5604E33949D3}"/>
    <hyperlink ref="A56" r:id="rId55" location="focus-not-obscured-minimum" xr:uid="{05C5F42F-6212-A84D-B1B5-9AC18E3CB264}"/>
    <hyperlink ref="A57" r:id="rId56" location="ensure-compat-parses" display="http://www.w3.org/TR/WCAG20/ - ensure-compat-parses" xr:uid="{C9C6DB3F-E531-D248-9F87-A7695E51F62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7CED3-0B9A-C34A-AC0A-196C9A1A9C66}">
  <dimension ref="A1:C30"/>
  <sheetViews>
    <sheetView workbookViewId="0">
      <selection activeCell="B3" sqref="B3"/>
    </sheetView>
  </sheetViews>
  <sheetFormatPr baseColWidth="10" defaultColWidth="9.42578125" defaultRowHeight="16" x14ac:dyDescent="0.2"/>
  <cols>
    <col min="1" max="1" width="10.7109375" style="10" customWidth="1"/>
    <col min="2" max="2" width="128.85546875" customWidth="1"/>
    <col min="3" max="3" width="22" style="10" customWidth="1"/>
  </cols>
  <sheetData>
    <row r="1" spans="1:3" x14ac:dyDescent="0.2">
      <c r="A1" s="10" t="s">
        <v>232</v>
      </c>
      <c r="B1" t="s">
        <v>233</v>
      </c>
      <c r="C1" s="10" t="s">
        <v>234</v>
      </c>
    </row>
    <row r="2" spans="1:3" x14ac:dyDescent="0.2">
      <c r="A2" s="11">
        <v>45894</v>
      </c>
      <c r="B2" t="s">
        <v>235</v>
      </c>
      <c r="C2" s="10">
        <v>26</v>
      </c>
    </row>
    <row r="3" spans="1:3" x14ac:dyDescent="0.2">
      <c r="A3" s="11">
        <v>45890</v>
      </c>
      <c r="B3" t="s">
        <v>236</v>
      </c>
      <c r="C3" s="10">
        <v>25</v>
      </c>
    </row>
    <row r="4" spans="1:3" x14ac:dyDescent="0.2">
      <c r="A4" s="11">
        <v>45890</v>
      </c>
      <c r="B4" t="s">
        <v>237</v>
      </c>
      <c r="C4" s="10">
        <v>24</v>
      </c>
    </row>
    <row r="5" spans="1:3" x14ac:dyDescent="0.2">
      <c r="A5" s="11">
        <v>45890</v>
      </c>
      <c r="B5" t="s">
        <v>238</v>
      </c>
      <c r="C5" s="10" t="s">
        <v>239</v>
      </c>
    </row>
    <row r="6" spans="1:3" x14ac:dyDescent="0.2">
      <c r="A6" s="11">
        <v>45890</v>
      </c>
      <c r="B6" t="s">
        <v>240</v>
      </c>
      <c r="C6" s="10" t="s">
        <v>241</v>
      </c>
    </row>
    <row r="7" spans="1:3" x14ac:dyDescent="0.2">
      <c r="A7" s="11">
        <v>45889</v>
      </c>
      <c r="B7" t="s">
        <v>242</v>
      </c>
      <c r="C7" s="10" t="s">
        <v>243</v>
      </c>
    </row>
    <row r="8" spans="1:3" x14ac:dyDescent="0.2">
      <c r="A8" s="11">
        <v>45889</v>
      </c>
      <c r="B8" t="s">
        <v>244</v>
      </c>
      <c r="C8" s="10" t="s">
        <v>245</v>
      </c>
    </row>
    <row r="9" spans="1:3" x14ac:dyDescent="0.2">
      <c r="A9" s="11">
        <v>45887</v>
      </c>
      <c r="B9" t="s">
        <v>246</v>
      </c>
      <c r="C9" s="10">
        <v>23</v>
      </c>
    </row>
    <row r="10" spans="1:3" x14ac:dyDescent="0.2">
      <c r="A10" s="11">
        <v>45884</v>
      </c>
      <c r="B10" t="s">
        <v>247</v>
      </c>
      <c r="C10" s="10" t="s">
        <v>248</v>
      </c>
    </row>
    <row r="11" spans="1:3" x14ac:dyDescent="0.2">
      <c r="A11" s="11">
        <v>45882</v>
      </c>
      <c r="B11" t="s">
        <v>249</v>
      </c>
      <c r="C11" s="10" t="s">
        <v>250</v>
      </c>
    </row>
    <row r="12" spans="1:3" x14ac:dyDescent="0.2">
      <c r="A12" s="11">
        <v>45881</v>
      </c>
      <c r="B12" t="s">
        <v>251</v>
      </c>
      <c r="C12" s="10" t="s">
        <v>252</v>
      </c>
    </row>
    <row r="13" spans="1:3" x14ac:dyDescent="0.2">
      <c r="A13" s="11">
        <v>45880</v>
      </c>
      <c r="B13" t="s">
        <v>253</v>
      </c>
      <c r="C13" s="10">
        <v>22</v>
      </c>
    </row>
    <row r="14" spans="1:3" x14ac:dyDescent="0.2">
      <c r="A14" s="11">
        <v>45875</v>
      </c>
      <c r="B14" t="s">
        <v>254</v>
      </c>
      <c r="C14" s="10">
        <v>21</v>
      </c>
    </row>
    <row r="15" spans="1:3" x14ac:dyDescent="0.2">
      <c r="A15" s="11">
        <v>45777</v>
      </c>
      <c r="B15" t="s">
        <v>255</v>
      </c>
      <c r="C15" s="10">
        <v>20</v>
      </c>
    </row>
    <row r="16" spans="1:3" x14ac:dyDescent="0.2">
      <c r="A16" s="11">
        <v>45632</v>
      </c>
      <c r="B16" t="s">
        <v>256</v>
      </c>
      <c r="C16" s="10">
        <v>19</v>
      </c>
    </row>
    <row r="17" spans="1:3" x14ac:dyDescent="0.2">
      <c r="A17" s="11">
        <v>45608</v>
      </c>
      <c r="B17" t="s">
        <v>257</v>
      </c>
      <c r="C17" s="10">
        <v>18</v>
      </c>
    </row>
    <row r="18" spans="1:3" x14ac:dyDescent="0.2">
      <c r="A18" s="11">
        <v>45467</v>
      </c>
      <c r="B18" t="s">
        <v>258</v>
      </c>
      <c r="C18" s="10">
        <v>17</v>
      </c>
    </row>
    <row r="19" spans="1:3" x14ac:dyDescent="0.2">
      <c r="A19" s="11">
        <v>45400</v>
      </c>
      <c r="B19" t="s">
        <v>259</v>
      </c>
      <c r="C19" s="10">
        <v>16</v>
      </c>
    </row>
    <row r="20" spans="1:3" x14ac:dyDescent="0.2">
      <c r="A20" s="11">
        <v>45322</v>
      </c>
      <c r="B20" t="s">
        <v>260</v>
      </c>
      <c r="C20" s="10">
        <v>15</v>
      </c>
    </row>
    <row r="21" spans="1:3" x14ac:dyDescent="0.2">
      <c r="A21" s="11">
        <v>45202</v>
      </c>
      <c r="B21" t="s">
        <v>261</v>
      </c>
      <c r="C21" s="10">
        <v>14</v>
      </c>
    </row>
    <row r="22" spans="1:3" x14ac:dyDescent="0.2">
      <c r="A22" s="11">
        <v>45195</v>
      </c>
      <c r="B22" t="s">
        <v>262</v>
      </c>
      <c r="C22" s="10">
        <v>13</v>
      </c>
    </row>
    <row r="23" spans="1:3" x14ac:dyDescent="0.2">
      <c r="A23" s="11">
        <v>45162</v>
      </c>
      <c r="B23" t="s">
        <v>263</v>
      </c>
      <c r="C23" s="10">
        <v>12</v>
      </c>
    </row>
    <row r="24" spans="1:3" x14ac:dyDescent="0.2">
      <c r="A24" s="11">
        <v>45099</v>
      </c>
      <c r="B24" t="s">
        <v>264</v>
      </c>
      <c r="C24" s="10">
        <v>11</v>
      </c>
    </row>
    <row r="25" spans="1:3" x14ac:dyDescent="0.2">
      <c r="A25" s="11">
        <v>45084</v>
      </c>
      <c r="B25" t="s">
        <v>265</v>
      </c>
      <c r="C25" s="10">
        <v>10</v>
      </c>
    </row>
    <row r="26" spans="1:3" x14ac:dyDescent="0.2">
      <c r="A26" s="11">
        <v>45070</v>
      </c>
      <c r="B26" t="s">
        <v>266</v>
      </c>
      <c r="C26" s="10">
        <v>8</v>
      </c>
    </row>
    <row r="27" spans="1:3" x14ac:dyDescent="0.2">
      <c r="A27" s="11">
        <v>45070</v>
      </c>
      <c r="B27" t="s">
        <v>267</v>
      </c>
      <c r="C27" s="10">
        <v>9</v>
      </c>
    </row>
    <row r="28" spans="1:3" x14ac:dyDescent="0.2">
      <c r="A28" s="11">
        <v>45069</v>
      </c>
      <c r="B28" t="s">
        <v>268</v>
      </c>
      <c r="C28" s="10">
        <v>7</v>
      </c>
    </row>
    <row r="29" spans="1:3" x14ac:dyDescent="0.2">
      <c r="A29" s="11">
        <v>45068</v>
      </c>
      <c r="B29" t="s">
        <v>269</v>
      </c>
      <c r="C29" s="10">
        <v>7</v>
      </c>
    </row>
    <row r="30" spans="1:3" x14ac:dyDescent="0.2">
      <c r="A30" s="11">
        <v>45067</v>
      </c>
      <c r="B30" t="s">
        <v>270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889bdad-fd70-4f14-8776-fceb0fcd84a9" xsi:nil="true"/>
    <lcf76f155ced4ddcb4097134ff3c332f xmlns="1d3ea25e-823a-47e4-a9f0-4d152e9f764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C5317BE24B00344B2A33B7506049680" ma:contentTypeVersion="17" ma:contentTypeDescription="Create a new document." ma:contentTypeScope="" ma:versionID="8a8ab6a4f091c9551fb6d41a31f7e497">
  <xsd:schema xmlns:xsd="http://www.w3.org/2001/XMLSchema" xmlns:xs="http://www.w3.org/2001/XMLSchema" xmlns:p="http://schemas.microsoft.com/office/2006/metadata/properties" xmlns:ns2="1d3ea25e-823a-47e4-a9f0-4d152e9f7648" xmlns:ns3="b889bdad-fd70-4f14-8776-fceb0fcd84a9" targetNamespace="http://schemas.microsoft.com/office/2006/metadata/properties" ma:root="true" ma:fieldsID="6778886327d4189b49f115cfb6c8b1fe" ns2:_="" ns3:_="">
    <xsd:import namespace="1d3ea25e-823a-47e4-a9f0-4d152e9f7648"/>
    <xsd:import namespace="b889bdad-fd70-4f14-8776-fceb0fcd84a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3ea25e-823a-47e4-a9f0-4d152e9f76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034b13c-ebbc-4df5-bee6-d4e945db1b4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889bdad-fd70-4f14-8776-fceb0fcd84a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2b137b9e-10d3-41df-a324-276304b19024}" ma:internalName="TaxCatchAll" ma:showField="CatchAllData" ma:web="b889bdad-fd70-4f14-8776-fceb0fcd8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86D137-6CEE-4C39-8802-33397791E66C}">
  <ds:schemaRefs>
    <ds:schemaRef ds:uri="http://purl.org/dc/dcmitype/"/>
    <ds:schemaRef ds:uri="http://schemas.microsoft.com/office/2006/documentManagement/types"/>
    <ds:schemaRef ds:uri="b889bdad-fd70-4f14-8776-fceb0fcd84a9"/>
    <ds:schemaRef ds:uri="http://schemas.microsoft.com/office/2006/metadata/properties"/>
    <ds:schemaRef ds:uri="http://purl.org/dc/elements/1.1/"/>
    <ds:schemaRef ds:uri="http://www.w3.org/XML/1998/namespace"/>
    <ds:schemaRef ds:uri="http://purl.org/dc/terms/"/>
    <ds:schemaRef ds:uri="1d3ea25e-823a-47e4-a9f0-4d152e9f7648"/>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66F8352F-CC54-4790-A3E6-F862049478F4}">
  <ds:schemaRefs>
    <ds:schemaRef ds:uri="http://schemas.microsoft.com/sharepoint/v3/contenttype/forms"/>
  </ds:schemaRefs>
</ds:datastoreItem>
</file>

<file path=customXml/itemProps3.xml><?xml version="1.0" encoding="utf-8"?>
<ds:datastoreItem xmlns:ds="http://schemas.openxmlformats.org/officeDocument/2006/customXml" ds:itemID="{55DB06F4-D7F4-405C-BA1F-AAE9E53002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3ea25e-823a-47e4-a9f0-4d152e9f7648"/>
    <ds:schemaRef ds:uri="b889bdad-fd70-4f14-8776-fceb0fcd84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U T A</vt:lpstr>
      <vt:lpstr>Score</vt:lpstr>
      <vt:lpstr>ACR</vt:lpstr>
      <vt:lpstr>List by Impact</vt:lpstr>
      <vt:lpstr>Roadmap</vt:lpstr>
      <vt:lpstr>Versions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Hopkins, Laura A</dc:creator>
  <cp:keywords/>
  <dc:description/>
  <cp:lastModifiedBy>Singh, Simarjot</cp:lastModifiedBy>
  <cp:revision/>
  <dcterms:created xsi:type="dcterms:W3CDTF">2025-08-25T16:40:18Z</dcterms:created>
  <dcterms:modified xsi:type="dcterms:W3CDTF">2026-02-20T05:32:25Z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0x0101008C5317BE24B00344B2A33B7506049680</vt:lpwstr>
  </property>
  <property fmtid="{D5CDD505-2E9C-101B-9397-08002B2CF9AE}" pid="3" name="MediaServiceImageTags">
    <vt:lpwstr/>
  </property>
</Properties>
</file>